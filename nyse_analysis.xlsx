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rodriguez/Downloads/NYSE Data Project Rodriguez, Cesar/"/>
    </mc:Choice>
  </mc:AlternateContent>
  <xr:revisionPtr revIDLastSave="0" documentId="8_{236D3DD0-E263-5D40-A484-E6365F5237F4}" xr6:coauthVersionLast="47" xr6:coauthVersionMax="47" xr10:uidLastSave="{00000000-0000-0000-0000-000000000000}"/>
  <bookViews>
    <workbookView xWindow="0" yWindow="760" windowWidth="34560" windowHeight="20240" activeTab="3" xr2:uid="{9542F880-3F7E-064F-B0D5-E9FB13745C72}"/>
  </bookViews>
  <sheets>
    <sheet name="projectdata-nyse PROJECT" sheetId="1" r:id="rId1"/>
    <sheet name="TASK 1" sheetId="2" r:id="rId2"/>
    <sheet name="TASK 2" sheetId="4" r:id="rId3"/>
    <sheet name="TASK 3" sheetId="10" r:id="rId4"/>
    <sheet name="Sheet2" sheetId="12" r:id="rId5"/>
  </sheets>
  <definedNames>
    <definedName name="_xlnm._FilterDatabase" localSheetId="0" hidden="1">'projectdata-nyse PROJECT'!$A$1:$K$1711</definedName>
    <definedName name="_xlnm._FilterDatabase" localSheetId="1" hidden="1">'TASK 1'!$B$1:$C$1663</definedName>
    <definedName name="_xlchart.v1.0" hidden="1">'TASK 1'!$B$598:$B$1647</definedName>
    <definedName name="_xlchart.v1.1" hidden="1">'TASK 1'!$B$10:$B$581</definedName>
    <definedName name="COGS">'projectdata-nyse PROJECT'!$F:$F</definedName>
    <definedName name="oper">'projectdata-nyse PROJECT'!$I:$I</definedName>
    <definedName name="operating_margin">'projectdata-nyse PROJECT'!$M$1</definedName>
    <definedName name="RD">'projectdata-nyse PROJECT'!$H:$H</definedName>
    <definedName name="Rev">'projectdata-nyse PROJECT'!$E:$E</definedName>
    <definedName name="SGA">'projectdata-nyse PROJECT'!$G:$G</definedName>
    <definedName name="Sym">'projectdata-nyse PROJECT'!$B:$B</definedName>
    <definedName name="Year">'projectdata-nyse PROJECT'!$C:$C</definedName>
  </definedName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0" l="1"/>
  <c r="G17" i="10"/>
  <c r="G30" i="2"/>
  <c r="G29" i="2"/>
  <c r="E6" i="10" a="1"/>
  <c r="E6" i="10" s="1"/>
  <c r="E6" i="4" a="1"/>
  <c r="E6" i="4" s="1"/>
  <c r="E5" i="10" a="1"/>
  <c r="E5" i="10" s="1"/>
  <c r="E5" i="4" a="1"/>
  <c r="E5" i="4" s="1"/>
  <c r="G10" i="10" a="1"/>
  <c r="G10" i="10" s="1"/>
  <c r="F10" i="10" a="1"/>
  <c r="F10" i="10" s="1"/>
  <c r="E10" i="10" a="1"/>
  <c r="E10" i="10" s="1"/>
  <c r="H10" i="10" a="1"/>
  <c r="H10" i="10" s="1"/>
  <c r="E10" i="4" a="1"/>
  <c r="E10" i="4" s="1"/>
  <c r="H9" i="10" a="1"/>
  <c r="H9" i="10" s="1"/>
  <c r="G9" i="10" a="1"/>
  <c r="G9" i="10" s="1"/>
  <c r="F9" i="10" a="1"/>
  <c r="F9" i="10" s="1"/>
  <c r="E9" i="10" a="1"/>
  <c r="E9" i="10" s="1"/>
  <c r="E9" i="4" a="1"/>
  <c r="E9" i="4" s="1"/>
  <c r="E8" i="10" a="1"/>
  <c r="E8" i="10" s="1"/>
  <c r="F8" i="10" a="1"/>
  <c r="F8" i="10" s="1"/>
  <c r="E8" i="4" a="1"/>
  <c r="E8" i="4" s="1"/>
  <c r="G8" i="10" a="1"/>
  <c r="G8" i="10" s="1"/>
  <c r="H10" i="4" a="1"/>
  <c r="H10" i="4" s="1"/>
  <c r="G10" i="4" a="1"/>
  <c r="G10" i="4" s="1"/>
  <c r="F10" i="4" a="1"/>
  <c r="F10" i="4" s="1"/>
  <c r="H9" i="4" a="1"/>
  <c r="H9" i="4" s="1"/>
  <c r="G9" i="4" a="1"/>
  <c r="G9" i="4" s="1"/>
  <c r="F9" i="4" a="1"/>
  <c r="F9" i="4" s="1"/>
  <c r="G128" i="2"/>
  <c r="G38" i="2"/>
  <c r="I16" i="10"/>
  <c r="J17" i="10"/>
  <c r="J16" i="10"/>
  <c r="I17" i="10"/>
  <c r="F5" i="10" a="1"/>
  <c r="F5" i="10" s="1"/>
  <c r="F6" i="10" a="1"/>
  <c r="F6" i="10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2" i="1"/>
  <c r="E11" i="4" l="1"/>
  <c r="E12" i="4" s="1"/>
  <c r="E7" i="4"/>
  <c r="E7" i="10"/>
  <c r="E11" i="10"/>
  <c r="F11" i="10"/>
  <c r="F12" i="10" s="1"/>
  <c r="G11" i="10"/>
  <c r="E12" i="10"/>
  <c r="F7" i="10"/>
  <c r="H8" i="10" a="1"/>
  <c r="H8" i="10" s="1"/>
  <c r="H11" i="10" s="1"/>
  <c r="H6" i="10" a="1"/>
  <c r="H6" i="10" s="1"/>
  <c r="G6" i="10" a="1"/>
  <c r="G6" i="10" s="1"/>
  <c r="H5" i="10" a="1"/>
  <c r="H5" i="10" s="1"/>
  <c r="G5" i="10" a="1"/>
  <c r="G5" i="10" s="1"/>
  <c r="H8" i="4" a="1"/>
  <c r="H8" i="4" s="1"/>
  <c r="H11" i="4" s="1"/>
  <c r="F8" i="4" a="1"/>
  <c r="F8" i="4" s="1"/>
  <c r="F11" i="4" s="1"/>
  <c r="G8" i="4" a="1"/>
  <c r="G8" i="4" s="1"/>
  <c r="G11" i="4" s="1"/>
  <c r="H6" i="4" a="1"/>
  <c r="H6" i="4" s="1"/>
  <c r="G6" i="4" a="1"/>
  <c r="G6" i="4" s="1"/>
  <c r="F6" i="4" a="1"/>
  <c r="F6" i="4" s="1"/>
  <c r="H5" i="4" a="1"/>
  <c r="H5" i="4" s="1"/>
  <c r="G5" i="4" a="1"/>
  <c r="G5" i="4" s="1"/>
  <c r="F5" i="4" a="1"/>
  <c r="F5" i="4" s="1"/>
  <c r="G33" i="2"/>
  <c r="G32" i="2"/>
  <c r="G31" i="2"/>
  <c r="G27" i="2"/>
  <c r="G28" i="2"/>
  <c r="F12" i="4" l="1"/>
  <c r="G12" i="4"/>
  <c r="H12" i="4"/>
  <c r="G12" i="10"/>
  <c r="I5" i="10"/>
  <c r="I12" i="10" s="1"/>
  <c r="H12" i="10"/>
  <c r="H17" i="10"/>
  <c r="G7" i="10"/>
  <c r="H7" i="10"/>
  <c r="H7" i="4"/>
  <c r="F7" i="4"/>
  <c r="G7" i="4"/>
  <c r="G46" i="2"/>
  <c r="I7" i="10" l="1"/>
  <c r="J5" i="10"/>
  <c r="J7" i="10" s="1"/>
  <c r="J12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<sst xmlns="http://schemas.openxmlformats.org/spreadsheetml/2006/main" count="11134" uniqueCount="614">
  <si>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</si>
  <si>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</si>
  <si>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</si>
  <si>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</si>
  <si>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</si>
  <si>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</si>
  <si>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</si>
  <si>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</si>
  <si>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</si>
  <si>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</si>
  <si>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AAL</t>
  </si>
  <si>
    <t>Year 1</t>
  </si>
  <si>
    <t xml:space="preserve"> $-   </t>
  </si>
  <si>
    <t>Industrials</t>
  </si>
  <si>
    <t>Airlines</t>
  </si>
  <si>
    <t>Year 2</t>
  </si>
  <si>
    <t>Year 3</t>
  </si>
  <si>
    <t>Year 4</t>
  </si>
  <si>
    <t>AAP</t>
  </si>
  <si>
    <t>Consumer Discretionary</t>
  </si>
  <si>
    <t>Automotive Retail</t>
  </si>
  <si>
    <t>AAPL</t>
  </si>
  <si>
    <t>Information Technology</t>
  </si>
  <si>
    <t>Computer Hardware</t>
  </si>
  <si>
    <t>ABBV</t>
  </si>
  <si>
    <t>Health Care</t>
  </si>
  <si>
    <t>Pharmaceuticals</t>
  </si>
  <si>
    <t>ABC</t>
  </si>
  <si>
    <t>Health Care Distributors</t>
  </si>
  <si>
    <t>ABT</t>
  </si>
  <si>
    <t>Health Care Equipment</t>
  </si>
  <si>
    <t>ADBE</t>
  </si>
  <si>
    <t>Application Software</t>
  </si>
  <si>
    <t>ADI</t>
  </si>
  <si>
    <t>Semiconductors</t>
  </si>
  <si>
    <t>ADM</t>
  </si>
  <si>
    <t>Consumer Staples</t>
  </si>
  <si>
    <t>Agricultural Products</t>
  </si>
  <si>
    <t>ADS</t>
  </si>
  <si>
    <t>Data Processing &amp; Outsourced Services</t>
  </si>
  <si>
    <t>ADSK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</si>
  <si>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</si>
  <si>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</si>
  <si>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</si>
  <si>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</si>
  <si>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</si>
  <si>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</si>
  <si>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</si>
  <si>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</si>
  <si>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</si>
  <si>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</si>
  <si>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</si>
  <si>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</si>
  <si>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</si>
  <si>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</si>
  <si>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</si>
  <si>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</si>
  <si>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</si>
  <si>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</si>
  <si>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</si>
  <si>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</si>
  <si>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</si>
  <si>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</si>
  <si>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</si>
  <si>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</si>
  <si>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</si>
  <si>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</si>
  <si>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</si>
  <si>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Semiconductor Equipment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</si>
  <si>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</si>
  <si>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</si>
  <si>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</si>
  <si>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</si>
  <si>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</si>
  <si>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</si>
  <si>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</si>
  <si>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</si>
  <si>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</si>
  <si>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</si>
  <si>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</si>
  <si>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</si>
  <si>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</si>
  <si>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</si>
  <si>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</si>
  <si>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</si>
  <si>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</si>
  <si>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</si>
  <si>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</si>
  <si>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</si>
  <si>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</si>
  <si>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</si>
  <si>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</si>
  <si>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</si>
  <si>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</si>
  <si>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</si>
  <si>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</si>
  <si>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</si>
  <si>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</si>
  <si>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</si>
  <si>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</si>
  <si>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</si>
  <si>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</si>
  <si>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AZO</t>
  </si>
  <si>
    <t>BA</t>
  </si>
  <si>
    <t>BAC</t>
  </si>
  <si>
    <t>Banks</t>
  </si>
  <si>
    <t>BAX</t>
  </si>
  <si>
    <t>BBBY</t>
  </si>
  <si>
    <t>BBT</t>
  </si>
  <si>
    <t>BBY</t>
  </si>
  <si>
    <t>Computer &amp; Electronics Retail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</si>
  <si>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</si>
  <si>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</si>
  <si>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</si>
  <si>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</si>
  <si>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</si>
  <si>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</si>
  <si>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</si>
  <si>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</si>
  <si>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</si>
  <si>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</si>
  <si>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</si>
  <si>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</si>
  <si>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</si>
  <si>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Packaged Foods &amp; Meats</t>
  </si>
  <si>
    <t>CAH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</si>
  <si>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</si>
  <si>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</si>
  <si>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</si>
  <si>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</si>
  <si>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</si>
  <si>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</si>
  <si>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</si>
  <si>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Hotels, Resorts &amp; Cruise Lines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</si>
  <si>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</si>
  <si>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</si>
  <si>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</si>
  <si>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</si>
  <si>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</si>
  <si>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</si>
  <si>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</si>
  <si>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</si>
  <si>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</si>
  <si>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</si>
  <si>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</si>
  <si>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</si>
  <si>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</si>
  <si>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</si>
  <si>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</si>
  <si>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</si>
  <si>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</si>
  <si>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</si>
  <si>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</si>
  <si>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</si>
  <si>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</si>
  <si>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</si>
  <si>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</si>
  <si>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</si>
  <si>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</si>
  <si>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</si>
  <si>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</si>
  <si>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</si>
  <si>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</si>
  <si>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</si>
  <si>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</si>
  <si>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</si>
  <si>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Health Care Supplies</t>
  </si>
  <si>
    <t>COST</t>
  </si>
  <si>
    <t>Hypermarkets &amp; Super Centers</t>
  </si>
  <si>
    <t>COTY</t>
  </si>
  <si>
    <t>Personal Products</t>
  </si>
  <si>
    <t>CPB</t>
  </si>
  <si>
    <t>CRM</t>
  </si>
  <si>
    <t>CSCO</t>
  </si>
  <si>
    <t>Networking Equipment</t>
  </si>
  <si>
    <t>CSRA</t>
  </si>
  <si>
    <t>IT Consulting &amp; Other Services</t>
  </si>
  <si>
    <t>CSX</t>
  </si>
  <si>
    <t>Railroads</t>
  </si>
  <si>
    <t>CTAS</t>
  </si>
  <si>
    <t>Diversified Support Services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</si>
  <si>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</si>
  <si>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</si>
  <si>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</si>
  <si>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</si>
  <si>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</si>
  <si>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</si>
  <si>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</si>
  <si>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</si>
  <si>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</si>
  <si>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</si>
  <si>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</si>
  <si>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</si>
  <si>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</si>
  <si>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</si>
  <si>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</si>
  <si>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DG</t>
  </si>
  <si>
    <t>General Merchandise Stores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</si>
  <si>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</si>
  <si>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</si>
  <si>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</si>
  <si>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</si>
  <si>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</si>
  <si>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</si>
  <si>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</si>
  <si>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</si>
  <si>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</si>
  <si>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</si>
  <si>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</si>
  <si>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</si>
  <si>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</si>
  <si>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</si>
  <si>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</si>
  <si>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</si>
  <si>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</si>
  <si>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</si>
  <si>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</si>
  <si>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</si>
  <si>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</si>
  <si>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</si>
  <si>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</si>
  <si>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</si>
  <si>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</si>
  <si>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</si>
  <si>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</si>
  <si>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</si>
  <si>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</si>
  <si>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</si>
  <si>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</si>
  <si>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</si>
  <si>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</si>
  <si>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</si>
  <si>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</si>
  <si>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</si>
  <si>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</si>
  <si>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</si>
  <si>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</si>
  <si>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</si>
  <si>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</si>
  <si>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</si>
  <si>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</si>
  <si>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</si>
  <si>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</si>
  <si>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</si>
  <si>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</si>
  <si>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</si>
  <si>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</si>
  <si>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</si>
  <si>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</si>
  <si>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</si>
  <si>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</si>
  <si>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</si>
  <si>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</si>
  <si>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</si>
  <si>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</si>
  <si>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</si>
  <si>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</si>
  <si>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</si>
  <si>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</si>
  <si>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</si>
  <si>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</si>
  <si>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</si>
  <si>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</si>
  <si>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</si>
  <si>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</si>
  <si>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</si>
  <si>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</si>
  <si>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</si>
  <si>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</si>
  <si>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</si>
  <si>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</si>
  <si>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</si>
  <si>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</si>
  <si>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</si>
  <si>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</si>
  <si>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</si>
  <si>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</si>
  <si>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</si>
  <si>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</si>
  <si>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</si>
  <si>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</si>
  <si>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</si>
  <si>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</si>
  <si>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</si>
  <si>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</si>
  <si>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</si>
  <si>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</si>
  <si>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</si>
  <si>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</si>
  <si>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</si>
  <si>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</si>
  <si>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</si>
  <si>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</si>
  <si>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</si>
  <si>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</si>
  <si>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</si>
  <si>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</si>
  <si>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</si>
  <si>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</si>
  <si>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</si>
  <si>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</si>
  <si>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</si>
  <si>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</si>
  <si>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</si>
  <si>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</si>
  <si>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</si>
  <si>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</si>
  <si>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HRL</t>
  </si>
  <si>
    <t>HRS</t>
  </si>
  <si>
    <t>Telecommunications Equipment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</si>
  <si>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</si>
  <si>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</si>
  <si>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</si>
  <si>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</si>
  <si>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</si>
  <si>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</si>
  <si>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</si>
  <si>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</si>
  <si>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</si>
  <si>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</si>
  <si>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</si>
  <si>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</si>
  <si>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</si>
  <si>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</si>
  <si>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</si>
  <si>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</si>
  <si>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</si>
  <si>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</si>
  <si>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</si>
  <si>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</si>
  <si>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</si>
  <si>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</si>
  <si>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</si>
  <si>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</si>
  <si>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</si>
  <si>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</si>
  <si>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</si>
  <si>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</si>
  <si>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</si>
  <si>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</si>
  <si>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</si>
  <si>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</si>
  <si>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</si>
  <si>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KO</t>
  </si>
  <si>
    <t>KORS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</si>
  <si>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</si>
  <si>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</si>
  <si>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</si>
  <si>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</si>
  <si>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</si>
  <si>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</si>
  <si>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</si>
  <si>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</si>
  <si>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</si>
  <si>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</si>
  <si>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</si>
  <si>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</si>
  <si>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LLY</t>
  </si>
  <si>
    <t>LMT</t>
  </si>
  <si>
    <t>LNT</t>
  </si>
  <si>
    <t>LOW</t>
  </si>
  <si>
    <t>LRCX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</si>
  <si>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</si>
  <si>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</si>
  <si>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</si>
  <si>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</si>
  <si>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</si>
  <si>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</si>
  <si>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</si>
  <si>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</si>
  <si>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</si>
  <si>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</si>
  <si>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</si>
  <si>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</si>
  <si>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</si>
  <si>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</si>
  <si>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</si>
  <si>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</si>
  <si>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</si>
  <si>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</si>
  <si>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</si>
  <si>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</si>
  <si>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</si>
  <si>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</si>
  <si>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</si>
  <si>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</si>
  <si>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</si>
  <si>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</si>
  <si>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</si>
  <si>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</si>
  <si>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</si>
  <si>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</si>
  <si>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</si>
  <si>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</si>
  <si>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</si>
  <si>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</si>
  <si>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</si>
  <si>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</si>
  <si>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</si>
  <si>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</si>
  <si>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</si>
  <si>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</si>
  <si>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</si>
  <si>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</si>
  <si>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</si>
  <si>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</si>
  <si>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</si>
  <si>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</si>
  <si>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</si>
  <si>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</si>
  <si>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</si>
  <si>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</si>
  <si>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</si>
  <si>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</si>
  <si>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</si>
  <si>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</si>
  <si>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</si>
  <si>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</si>
  <si>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NUE</t>
  </si>
  <si>
    <t>Steel</t>
  </si>
  <si>
    <t>NVDA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</si>
  <si>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</si>
  <si>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</si>
  <si>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</si>
  <si>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</si>
  <si>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</si>
  <si>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</si>
  <si>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</si>
  <si>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</si>
  <si>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</si>
  <si>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</si>
  <si>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</si>
  <si>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</si>
  <si>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</si>
  <si>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</si>
  <si>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</si>
  <si>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</si>
  <si>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</si>
  <si>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</si>
  <si>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</si>
  <si>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</si>
  <si>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</si>
  <si>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</si>
  <si>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</si>
  <si>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</si>
  <si>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</si>
  <si>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</si>
  <si>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</si>
  <si>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</si>
  <si>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</si>
  <si>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</si>
  <si>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</si>
  <si>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</si>
  <si>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</si>
  <si>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</si>
  <si>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</si>
  <si>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</si>
  <si>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</si>
  <si>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</si>
  <si>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</si>
  <si>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</si>
  <si>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</si>
  <si>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</si>
  <si>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</si>
  <si>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</si>
  <si>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</si>
  <si>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</si>
  <si>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</si>
  <si>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</si>
  <si>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</si>
  <si>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</si>
  <si>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</si>
  <si>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</si>
  <si>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</si>
  <si>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</si>
  <si>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</si>
  <si>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</si>
  <si>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</si>
  <si>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</si>
  <si>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</si>
  <si>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</si>
  <si>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</si>
  <si>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</si>
  <si>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</si>
  <si>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</si>
  <si>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</si>
  <si>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</si>
  <si>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</si>
  <si>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</si>
  <si>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</si>
  <si>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</si>
  <si>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</si>
  <si>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</si>
  <si>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</si>
  <si>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</si>
  <si>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</si>
  <si>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</si>
  <si>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</si>
  <si>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SYY</t>
  </si>
  <si>
    <t>Food Distributors</t>
  </si>
  <si>
    <t>T</t>
  </si>
  <si>
    <t>TAP</t>
  </si>
  <si>
    <t>Brewers</t>
  </si>
  <si>
    <t>TDC</t>
  </si>
  <si>
    <t>TDG</t>
  </si>
  <si>
    <t>TEL</t>
  </si>
  <si>
    <t>Electronic Manufacturing Services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</si>
  <si>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</si>
  <si>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</si>
  <si>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</si>
  <si>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</si>
  <si>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</si>
  <si>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</si>
  <si>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</si>
  <si>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</si>
  <si>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</si>
  <si>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</si>
  <si>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</si>
  <si>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</si>
  <si>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</si>
  <si>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</si>
  <si>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</si>
  <si>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</si>
  <si>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</si>
  <si>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</si>
  <si>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</si>
  <si>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</si>
  <si>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</si>
  <si>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</si>
  <si>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</si>
  <si>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</si>
  <si>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</si>
  <si>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</si>
  <si>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</si>
  <si>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</si>
  <si>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</si>
  <si>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</si>
  <si>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</si>
  <si>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</si>
  <si>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</si>
  <si>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</si>
  <si>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</si>
  <si>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</si>
  <si>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</si>
  <si>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</si>
  <si>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</si>
  <si>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</si>
  <si>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</si>
  <si>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</si>
  <si>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</si>
  <si>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</si>
  <si>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</si>
  <si>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</si>
  <si>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</si>
  <si>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</si>
  <si>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</si>
  <si>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</si>
  <si>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</si>
  <si>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</si>
  <si>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</si>
  <si>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</si>
  <si>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</si>
  <si>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</si>
  <si>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</si>
  <si>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</si>
  <si>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</si>
  <si>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</si>
  <si>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</si>
  <si>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</si>
  <si>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</si>
  <si>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</si>
  <si>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</si>
  <si>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</si>
  <si>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</si>
  <si>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</si>
  <si>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</si>
  <si>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TOTAL REVENUE IN ENERGY&gt;INFORMATION TECHNOLOGY</t>
  </si>
  <si>
    <t>MEAN</t>
  </si>
  <si>
    <t>MEDIAN</t>
  </si>
  <si>
    <t>MODE</t>
  </si>
  <si>
    <t>SUM</t>
  </si>
  <si>
    <t>STANDARD DEV</t>
  </si>
  <si>
    <t>MIN</t>
  </si>
  <si>
    <t>MAX</t>
  </si>
  <si>
    <t>RANGE</t>
  </si>
  <si>
    <t>STATISTICAL REPORT  - TOTAL REVENUE FOR ENERGY</t>
  </si>
  <si>
    <t>STATISTICAL REPORT  - TOTAL REVENUE FOR INFO TECHNOLOGY</t>
  </si>
  <si>
    <t>Symbol</t>
  </si>
  <si>
    <t>Revenue</t>
  </si>
  <si>
    <t>GOGS</t>
  </si>
  <si>
    <t>Gross Profit</t>
  </si>
  <si>
    <t>SGA's</t>
  </si>
  <si>
    <t>R&amp;D</t>
  </si>
  <si>
    <t>Other Oper Exp</t>
  </si>
  <si>
    <t>Total Operating Expenses</t>
  </si>
  <si>
    <t>Operating Income / EBIT</t>
  </si>
  <si>
    <t>PROFIT AND LOSS STATEMENT</t>
  </si>
  <si>
    <t>Row Labels</t>
  </si>
  <si>
    <t>(blank)</t>
  </si>
  <si>
    <t>Grand Total</t>
  </si>
  <si>
    <t>Operating Statistics</t>
  </si>
  <si>
    <t>Revenue Growth (%)</t>
  </si>
  <si>
    <t>Gross Margin</t>
  </si>
  <si>
    <t>Operating Margin</t>
  </si>
  <si>
    <t xml:space="preserve">Historical </t>
  </si>
  <si>
    <t>Scenerio</t>
  </si>
  <si>
    <t>Operating Scenerios - Sensitivity Analysis</t>
  </si>
  <si>
    <t>Strong case</t>
  </si>
  <si>
    <t>Base case</t>
  </si>
  <si>
    <t>Weak case</t>
  </si>
  <si>
    <t>Year 5</t>
  </si>
  <si>
    <t>Year 6</t>
  </si>
  <si>
    <t>abbv</t>
  </si>
  <si>
    <t xml:space="preserve">                                           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</si>
</sst>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Display (Headings)"/>
    </font>
    <font>
      <b/>
      <sz val="12"/>
      <color theme="1"/>
      <name val="Aptos Narrow"/>
      <scheme val="minor"/>
    </font>
    <font>
      <sz val="12"/>
      <color theme="3" tint="0.49998474074526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1DCE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A6C9EC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1">
    <xf numFmtId="0" fontId="0" fillId="0" borderId="0" xfId="0"/>
    <xf numFmtId="14" fontId="0" fillId="0" borderId="0" xfId="0" applyNumberFormat="1"/>
    <xf numFmtId="6" fontId="0" fillId="0" borderId="0" xfId="0" applyNumberFormat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34" borderId="0" xfId="0" applyFill="1"/>
    <xf numFmtId="0" fontId="0" fillId="35" borderId="0" xfId="0" applyFill="1"/>
    <xf numFmtId="6" fontId="0" fillId="35" borderId="0" xfId="0" applyNumberFormat="1" applyFill="1"/>
    <xf numFmtId="0" fontId="0" fillId="35" borderId="16" xfId="0" applyFill="1" applyBorder="1"/>
    <xf numFmtId="0" fontId="0" fillId="35" borderId="17" xfId="0" applyFill="1" applyBorder="1"/>
    <xf numFmtId="0" fontId="0" fillId="36" borderId="0" xfId="0" applyFill="1"/>
    <xf numFmtId="6" fontId="0" fillId="36" borderId="0" xfId="0" applyNumberFormat="1" applyFill="1"/>
    <xf numFmtId="0" fontId="0" fillId="33" borderId="0" xfId="0" applyFill="1"/>
    <xf numFmtId="6" fontId="0" fillId="33" borderId="0" xfId="0" applyNumberFormat="1" applyFill="1"/>
    <xf numFmtId="0" fontId="0" fillId="37" borderId="0" xfId="0" applyFill="1"/>
    <xf numFmtId="0" fontId="0" fillId="38" borderId="0" xfId="0" applyFill="1"/>
    <xf numFmtId="0" fontId="0" fillId="37" borderId="16" xfId="0" applyFill="1" applyBorder="1"/>
    <xf numFmtId="0" fontId="0" fillId="37" borderId="17" xfId="0" applyFill="1" applyBorder="1"/>
    <xf numFmtId="0" fontId="0" fillId="39" borderId="16" xfId="0" applyFill="1" applyBorder="1"/>
    <xf numFmtId="0" fontId="0" fillId="39" borderId="23" xfId="0" applyFill="1" applyBorder="1"/>
    <xf numFmtId="0" fontId="0" fillId="39" borderId="17" xfId="0" applyFill="1" applyBorder="1"/>
    <xf numFmtId="0" fontId="0" fillId="39" borderId="18" xfId="0" applyFill="1" applyBorder="1"/>
    <xf numFmtId="0" fontId="0" fillId="39" borderId="0" xfId="0" applyFill="1"/>
    <xf numFmtId="0" fontId="0" fillId="39" borderId="19" xfId="0" applyFill="1" applyBorder="1"/>
    <xf numFmtId="44" fontId="0" fillId="39" borderId="0" xfId="1" applyFont="1" applyFill="1" applyBorder="1"/>
    <xf numFmtId="44" fontId="0" fillId="39" borderId="19" xfId="1" applyFont="1" applyFill="1" applyBorder="1"/>
    <xf numFmtId="44" fontId="0" fillId="39" borderId="0" xfId="0" applyNumberFormat="1" applyFill="1"/>
    <xf numFmtId="44" fontId="0" fillId="39" borderId="19" xfId="0" applyNumberFormat="1" applyFill="1" applyBorder="1"/>
    <xf numFmtId="0" fontId="0" fillId="39" borderId="2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0" borderId="23" xfId="0" applyFill="1" applyBorder="1"/>
    <xf numFmtId="0" fontId="0" fillId="41" borderId="24" xfId="0" applyFill="1" applyBorder="1"/>
    <xf numFmtId="0" fontId="0" fillId="0" borderId="24" xfId="0" applyBorder="1"/>
    <xf numFmtId="0" fontId="0" fillId="34" borderId="16" xfId="0" applyFill="1" applyBorder="1"/>
    <xf numFmtId="0" fontId="0" fillId="34" borderId="23" xfId="0" applyFill="1" applyBorder="1"/>
    <xf numFmtId="0" fontId="0" fillId="0" borderId="12" xfId="0" applyBorder="1"/>
    <xf numFmtId="0" fontId="0" fillId="0" borderId="1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34" borderId="26" xfId="0" applyFill="1" applyBorder="1"/>
    <xf numFmtId="0" fontId="0" fillId="0" borderId="16" xfId="0" applyBorder="1"/>
    <xf numFmtId="0" fontId="0" fillId="0" borderId="23" xfId="0" applyBorder="1"/>
    <xf numFmtId="0" fontId="0" fillId="41" borderId="16" xfId="0" applyFill="1" applyBorder="1"/>
    <xf numFmtId="0" fontId="0" fillId="42" borderId="0" xfId="0" applyFill="1"/>
    <xf numFmtId="0" fontId="0" fillId="42" borderId="25" xfId="0" applyFill="1" applyBorder="1"/>
    <xf numFmtId="0" fontId="0" fillId="42" borderId="12" xfId="0" applyFill="1" applyBorder="1"/>
    <xf numFmtId="0" fontId="0" fillId="42" borderId="14" xfId="0" applyFill="1" applyBorder="1"/>
    <xf numFmtId="0" fontId="18" fillId="41" borderId="23" xfId="0" applyFont="1" applyFill="1" applyBorder="1"/>
    <xf numFmtId="0" fontId="19" fillId="40" borderId="16" xfId="0" applyFont="1" applyFill="1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39" borderId="19" xfId="0" applyFill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4" xfId="0" applyBorder="1"/>
    <xf numFmtId="0" fontId="19" fillId="35" borderId="32" xfId="0" applyFont="1" applyFill="1" applyBorder="1"/>
    <xf numFmtId="0" fontId="0" fillId="35" borderId="29" xfId="0" applyFill="1" applyBorder="1"/>
    <xf numFmtId="0" fontId="0" fillId="35" borderId="33" xfId="0" applyFill="1" applyBorder="1"/>
    <xf numFmtId="0" fontId="0" fillId="35" borderId="34" xfId="0" applyFill="1" applyBorder="1"/>
    <xf numFmtId="0" fontId="0" fillId="35" borderId="13" xfId="0" applyFill="1" applyBorder="1"/>
    <xf numFmtId="0" fontId="0" fillId="35" borderId="25" xfId="0" applyFill="1" applyBorder="1"/>
    <xf numFmtId="0" fontId="0" fillId="35" borderId="15" xfId="0" applyFill="1" applyBorder="1"/>
    <xf numFmtId="0" fontId="0" fillId="41" borderId="35" xfId="0" applyFill="1" applyBorder="1"/>
    <xf numFmtId="0" fontId="0" fillId="39" borderId="12" xfId="0" applyFill="1" applyBorder="1"/>
    <xf numFmtId="0" fontId="0" fillId="39" borderId="0" xfId="0" applyFill="1" applyAlignment="1">
      <alignment horizontal="center"/>
    </xf>
    <xf numFmtId="0" fontId="0" fillId="39" borderId="14" xfId="0" applyFill="1" applyBorder="1"/>
    <xf numFmtId="0" fontId="20" fillId="40" borderId="23" xfId="0" applyFont="1" applyFill="1" applyBorder="1"/>
    <xf numFmtId="0" fontId="20" fillId="40" borderId="17" xfId="0" applyFont="1" applyFill="1" applyBorder="1"/>
    <xf numFmtId="0" fontId="0" fillId="39" borderId="13" xfId="0" applyFill="1" applyBorder="1"/>
    <xf numFmtId="8" fontId="0" fillId="39" borderId="0" xfId="1" applyNumberFormat="1" applyFont="1" applyFill="1" applyBorder="1"/>
    <xf numFmtId="6" fontId="0" fillId="39" borderId="0" xfId="1" applyNumberFormat="1" applyFont="1" applyFill="1" applyBorder="1"/>
    <xf numFmtId="6" fontId="0" fillId="39" borderId="0" xfId="0" applyNumberFormat="1" applyFill="1"/>
    <xf numFmtId="0" fontId="0" fillId="39" borderId="13" xfId="0" applyFill="1" applyBorder="1" applyAlignment="1">
      <alignment horizontal="center"/>
    </xf>
    <xf numFmtId="0" fontId="0" fillId="41" borderId="25" xfId="0" applyFill="1" applyBorder="1"/>
    <xf numFmtId="0" fontId="19" fillId="41" borderId="16" xfId="0" applyFont="1" applyFill="1" applyBorder="1"/>
    <xf numFmtId="9" fontId="0" fillId="42" borderId="0" xfId="0" applyNumberFormat="1" applyFill="1"/>
    <xf numFmtId="9" fontId="0" fillId="35" borderId="0" xfId="0" applyNumberFormat="1" applyFill="1"/>
    <xf numFmtId="0" fontId="0" fillId="0" borderId="37" xfId="0" applyBorder="1"/>
    <xf numFmtId="0" fontId="0" fillId="41" borderId="38" xfId="0" applyFill="1" applyBorder="1"/>
    <xf numFmtId="0" fontId="0" fillId="35" borderId="28" xfId="0" applyFill="1" applyBorder="1"/>
    <xf numFmtId="0" fontId="0" fillId="35" borderId="23" xfId="0" applyFill="1" applyBorder="1"/>
    <xf numFmtId="9" fontId="0" fillId="35" borderId="23" xfId="0" applyNumberFormat="1" applyFill="1" applyBorder="1"/>
    <xf numFmtId="0" fontId="0" fillId="37" borderId="24" xfId="0" applyFill="1" applyBorder="1"/>
    <xf numFmtId="10" fontId="0" fillId="42" borderId="10" xfId="0" applyNumberFormat="1" applyFill="1" applyBorder="1"/>
    <xf numFmtId="10" fontId="0" fillId="42" borderId="26" xfId="0" applyNumberFormat="1" applyFill="1" applyBorder="1"/>
    <xf numFmtId="44" fontId="0" fillId="39" borderId="18" xfId="0" applyNumberFormat="1" applyFill="1" applyBorder="1"/>
    <xf numFmtId="44" fontId="0" fillId="39" borderId="13" xfId="0" applyNumberFormat="1" applyFill="1" applyBorder="1"/>
    <xf numFmtId="0" fontId="21" fillId="43" borderId="0" xfId="0" applyFont="1" applyFill="1"/>
    <xf numFmtId="0" fontId="21" fillId="43" borderId="16" xfId="0" applyFont="1" applyFill="1" applyBorder="1"/>
    <xf numFmtId="0" fontId="21" fillId="43" borderId="39" xfId="0" applyFont="1" applyFill="1" applyBorder="1"/>
    <xf numFmtId="6" fontId="21" fillId="43" borderId="0" xfId="0" applyNumberFormat="1" applyFont="1" applyFill="1"/>
    <xf numFmtId="0" fontId="21" fillId="44" borderId="0" xfId="0" applyFont="1" applyFill="1"/>
    <xf numFmtId="6" fontId="21" fillId="44" borderId="0" xfId="0" applyNumberFormat="1" applyFont="1" applyFill="1"/>
    <xf numFmtId="0" fontId="0" fillId="41" borderId="40" xfId="0" applyFill="1" applyBorder="1"/>
    <xf numFmtId="0" fontId="0" fillId="41" borderId="41" xfId="0" applyFill="1" applyBorder="1"/>
    <xf numFmtId="0" fontId="0" fillId="41" borderId="42" xfId="0" applyFill="1" applyBorder="1"/>
    <xf numFmtId="6" fontId="0" fillId="41" borderId="44" xfId="0" applyNumberFormat="1" applyFill="1" applyBorder="1"/>
    <xf numFmtId="6" fontId="0" fillId="41" borderId="42" xfId="0" applyNumberFormat="1" applyFill="1" applyBorder="1"/>
    <xf numFmtId="0" fontId="0" fillId="0" borderId="43" xfId="0" applyBorder="1"/>
    <xf numFmtId="0" fontId="21" fillId="45" borderId="0" xfId="0" applyFont="1" applyFill="1"/>
    <xf numFmtId="6" fontId="21" fillId="45" borderId="0" xfId="0" applyNumberFormat="1" applyFont="1" applyFill="1"/>
    <xf numFmtId="44" fontId="0" fillId="39" borderId="0" xfId="1" applyFont="1" applyFill="1"/>
    <xf numFmtId="44" fontId="0" fillId="0" borderId="0" xfId="0" applyNumberFormat="1"/>
    <xf numFmtId="44" fontId="0" fillId="39" borderId="21" xfId="0" applyNumberFormat="1" applyFill="1" applyBorder="1"/>
    <xf numFmtId="44" fontId="0" fillId="39" borderId="22" xfId="0" applyNumberFormat="1" applyFill="1" applyBorder="1"/>
    <xf numFmtId="8" fontId="0" fillId="39" borderId="25" xfId="0" applyNumberFormat="1" applyFill="1" applyBorder="1"/>
    <xf numFmtId="44" fontId="0" fillId="39" borderId="25" xfId="0" applyNumberFormat="1" applyFill="1" applyBorder="1"/>
    <xf numFmtId="44" fontId="0" fillId="39" borderId="36" xfId="0" applyNumberFormat="1" applyFill="1" applyBorder="1"/>
    <xf numFmtId="44" fontId="0" fillId="39" borderId="15" xfId="0" applyNumberFormat="1" applyFill="1" applyBorder="1"/>
    <xf numFmtId="44" fontId="21" fillId="43" borderId="0" xfId="1" applyFont="1" applyFill="1"/>
    <xf numFmtId="44" fontId="0" fillId="35" borderId="0" xfId="1" applyFont="1" applyFill="1"/>
    <xf numFmtId="0" fontId="19" fillId="41" borderId="16" xfId="0" applyFont="1" applyFill="1" applyBorder="1"/>
    <xf numFmtId="0" fontId="19" fillId="41" borderId="17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61DCED"/>
      <color rgb="FFA8DB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ENERGY SECTOR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ENERGY SECTOR</a:t>
          </a:r>
        </a:p>
      </cx:txPr>
    </cx:title>
    <cx:plotArea>
      <cx:plotAreaRegion>
        <cx:series layoutId="clusteredColumn" uniqueId="{E896D82F-76C7-164A-9F91-1B8847E75BF1}">
          <cx:spPr>
            <a:solidFill>
              <a:schemeClr val="tx2">
                <a:lumMod val="25000"/>
                <a:lumOff val="75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TOTAL REVENUE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REVENUE (USD)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OF INFORMATION TECHNOLOGY SECTOR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INFORMATION TECHNOLOGY SECTOR</a:t>
          </a:r>
        </a:p>
      </cx:txPr>
    </cx:title>
    <cx:plotArea>
      <cx:plotAreaRegion>
        <cx:series layoutId="clusteredColumn" uniqueId="{B5BB27EA-C2CF-884A-8778-D250538B38CA}">
          <cx:spPr>
            <a:solidFill>
              <a:schemeClr val="accent2">
                <a:lumMod val="40000"/>
                <a:lumOff val="60000"/>
              </a:schemeClr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TOTAL REVENUE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REVENUE (USD)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12</xdr:row>
      <xdr:rowOff>203200</xdr:rowOff>
    </xdr:from>
    <xdr:to>
      <xdr:col>15</xdr:col>
      <xdr:colOff>0</xdr:colOff>
      <xdr:row>70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461F300-6725-B9A6-3DA0-8011C3D10B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3950" y="1016000"/>
              <a:ext cx="6927850" cy="351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19050</xdr:colOff>
      <xdr:row>70</xdr:row>
      <xdr:rowOff>190500</xdr:rowOff>
    </xdr:from>
    <xdr:to>
      <xdr:col>14</xdr:col>
      <xdr:colOff>818445</xdr:colOff>
      <xdr:row>439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DC7B4D1-270A-8DEC-074A-4182509A3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3950" y="4686300"/>
              <a:ext cx="6920795" cy="347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sar Rodriguez" refreshedDate="45866.805809375001" createdVersion="8" refreshedVersion="8" minRefreshableVersion="3" recordCount="1711" xr:uid="{9CE2E80F-C9C4-3C4C-BA87-7FA8F90825EB}">
  <cacheSource type="worksheet">
    <worksheetSource ref="B1:B1048576" sheet="projectdata-nyse PROJECT"/>
  </cacheSource>
  <cacheFields count="1">
    <cacheField name="Ticker Symbol" numFmtId="0">
      <sharedItems containsBlank="1" count="431">
        <s v="AAL"/>
        <s v="AAP"/>
        <s v="AAPL"/>
        <s v="ABBV"/>
        <s v="ABC"/>
        <s v="ABT"/>
        <s v="ADBE"/>
        <s v="ADI"/>
        <s v="ADM"/>
        <s v="ADS"/>
        <s v="ADSK"/>
        <s v="AEE"/>
        <s v="AEP"/>
        <s v="AFL"/>
        <s v="AIG"/>
        <s v="AIV"/>
        <s v="AIZ"/>
        <s v="AKAM"/>
        <s v="ALB"/>
        <s v="ALK"/>
        <s v="ALL"/>
        <s v="ALLE"/>
        <s v="ALXN"/>
        <s v="AMAT"/>
        <s v="AME"/>
        <s v="AMGN"/>
        <s v="AMP"/>
        <s v="AMT"/>
        <s v="AMZN"/>
        <s v="AN"/>
        <s v="ANTM"/>
        <s v="APA"/>
        <s v="APC"/>
        <s v="APD"/>
        <s v="APH"/>
        <s v="ARNC"/>
        <s v="ATVI"/>
        <s v="AVGO"/>
        <s v="AVY"/>
        <s v="AWK"/>
        <s v="AXP"/>
        <s v="AYI"/>
        <s v="AZO"/>
        <s v="BA"/>
        <s v="BAC"/>
        <s v="BAX"/>
        <s v="BBBY"/>
        <s v="BBT"/>
        <s v="BBY"/>
        <s v="BCR"/>
        <s v="BDX"/>
        <s v="BHI"/>
        <s v="BIIB"/>
        <s v="BLL"/>
        <s v="BMY"/>
        <s v="BSX"/>
        <s v="BWA"/>
        <s v="BXP"/>
        <s v="CAG"/>
        <s v="CAH"/>
        <s v="CAT"/>
        <s v="CB"/>
        <s v="CBG"/>
        <s v="CCI"/>
        <s v="CCL"/>
        <s v="CELG"/>
        <s v="CERN"/>
        <s v="CF"/>
        <s v="CFG"/>
        <s v="CHD"/>
        <s v="CHK"/>
        <s v="CHRW"/>
        <s v="CHTR"/>
        <s v="CI"/>
        <s v="CINF"/>
        <s v="CL"/>
        <s v="CLX"/>
        <s v="CMA"/>
        <s v="CMG"/>
        <s v="CMI"/>
        <s v="CMS"/>
        <s v="CNC"/>
        <s v="CNP"/>
        <s v="COF"/>
        <s v="COG"/>
        <s v="COL"/>
        <s v="COO"/>
        <s v="COST"/>
        <s v="COTY"/>
        <s v="CPB"/>
        <s v="CRM"/>
        <s v="CSCO"/>
        <s v="CSRA"/>
        <s v="CSX"/>
        <s v="CTAS"/>
        <s v="CTL"/>
        <s v="CTSH"/>
        <s v="CTXS"/>
        <s v="CVS"/>
        <s v="CVX"/>
        <s v="CXO"/>
        <s v="D"/>
        <s v="DAL"/>
        <s v="DD"/>
        <s v="DE"/>
        <s v="DFS"/>
        <s v="DG"/>
        <s v="DGX"/>
        <s v="DHI"/>
        <s v="DHR"/>
        <s v="DIS"/>
        <s v="DISCA"/>
        <s v="DISCK"/>
        <s v="DLPH"/>
        <s v="DLR"/>
        <s v="DLTR"/>
        <s v="DNB"/>
        <s v="DOV"/>
        <s v="DPS"/>
        <s v="DRI"/>
        <s v="DUK"/>
        <s v="DVA"/>
        <s v="DVN"/>
        <s v="EA"/>
        <s v="EBAY"/>
        <s v="ECL"/>
        <s v="ED"/>
        <s v="EFX"/>
        <s v="EIX"/>
        <s v="EL"/>
        <s v="EMN"/>
        <s v="EMR"/>
        <s v="EOG"/>
        <s v="EQIX"/>
        <s v="EQR"/>
        <s v="EQT"/>
        <s v="ES"/>
        <s v="ESS"/>
        <s v="ETFC"/>
        <s v="ETN"/>
        <s v="ETR"/>
        <s v="EW"/>
        <s v="EXC"/>
        <s v="EXPD"/>
        <s v="EXPE"/>
        <s v="EXR"/>
        <s v="F"/>
        <s v="FAST"/>
        <s v="FB"/>
        <s v="FBHS"/>
        <s v="FCX"/>
        <s v="FDX"/>
        <s v="FE"/>
        <s v="FFIV"/>
        <s v="FIS"/>
        <s v="FISV"/>
        <s v="FL"/>
        <s v="FLIR"/>
        <s v="FLR"/>
        <s v="FLS"/>
        <s v="FMC"/>
        <s v="FRT"/>
        <s v="FSLR"/>
        <s v="FTR"/>
        <s v="GD"/>
        <s v="GGP"/>
        <s v="GILD"/>
        <s v="GIS"/>
        <s v="GLW"/>
        <s v="GM"/>
        <s v="GPC"/>
        <s v="GPN"/>
        <s v="GPS"/>
        <s v="GRMN"/>
        <s v="GT"/>
        <s v="GWW"/>
        <s v="HAL"/>
        <s v="HAR"/>
        <s v="HAS"/>
        <s v="HBAN"/>
        <s v="HBI"/>
        <s v="HCA"/>
        <s v="HCN"/>
        <s v="HCP"/>
        <s v="HD"/>
        <s v="HES"/>
        <s v="HIG"/>
        <s v="HOG"/>
        <s v="HOLX"/>
        <s v="HON"/>
        <s v="HP"/>
        <s v="HPE"/>
        <s v="HPQ"/>
        <s v="HRB"/>
        <s v="HRL"/>
        <s v="HRS"/>
        <s v="HSIC"/>
        <s v="HST"/>
        <s v="HSY"/>
        <s v="HUM"/>
        <s v="IBM"/>
        <s v="IDXX"/>
        <s v="IFF"/>
        <s v="ILMN"/>
        <s v="INTC"/>
        <s v="INTU"/>
        <s v="IP"/>
        <s v="IPG"/>
        <s v="IRM"/>
        <s v="ISRG"/>
        <s v="ITW"/>
        <s v="IVZ"/>
        <s v="JBHT"/>
        <s v="JEC"/>
        <s v="JNPR"/>
        <s v="JPM"/>
        <s v="JWN"/>
        <s v="K"/>
        <s v="KEY"/>
        <s v="KIM"/>
        <s v="KLAC"/>
        <s v="KMB"/>
        <s v="KMI"/>
        <s v="KMX"/>
        <s v="KO"/>
        <s v="KORS"/>
        <s v="KR"/>
        <s v="KSS"/>
        <s v="KSU"/>
        <s v="LB"/>
        <s v="LEG"/>
        <s v="LEN"/>
        <s v="LH"/>
        <s v="LKQ"/>
        <s v="LLL"/>
        <s v="LLTC"/>
        <s v="LLY"/>
        <s v="LMT"/>
        <s v="LNT"/>
        <s v="LOW"/>
        <s v="LRCX"/>
        <s v="LUK"/>
        <s v="LUV"/>
        <s v="LVLT"/>
        <s v="LYB"/>
        <s v="M"/>
        <s v="MA"/>
        <s v="MAA"/>
        <s v="MAC"/>
        <s v="MAR"/>
        <s v="MAS"/>
        <s v="MAT"/>
        <s v="MCD"/>
        <s v="MCHP"/>
        <s v="MCK"/>
        <s v="MCO"/>
        <s v="MDLZ"/>
        <s v="MET"/>
        <s v="MHK"/>
        <s v="MJN"/>
        <s v="MKC"/>
        <s v="MLM"/>
        <s v="MMC"/>
        <s v="MMM"/>
        <s v="MNST"/>
        <s v="MO"/>
        <s v="MON"/>
        <s v="MOS"/>
        <s v="MPC"/>
        <s v="MRK"/>
        <s v="MRO"/>
        <s v="MSFT"/>
        <s v="MTB"/>
        <s v="MTD"/>
        <s v="MU"/>
        <s v="MUR"/>
        <s v="MYL"/>
        <s v="NBL"/>
        <s v="NDAQ"/>
        <s v="NEE"/>
        <s v="NEM"/>
        <s v="NFLX"/>
        <s v="NFX"/>
        <s v="NKE"/>
        <s v="NLSN"/>
        <s v="NOV"/>
        <s v="NSC"/>
        <s v="NTAP"/>
        <s v="NUE"/>
        <s v="NVDA"/>
        <s v="NWL"/>
        <s v="O"/>
        <s v="OKE"/>
        <s v="OMC"/>
        <s v="ORLY"/>
        <s v="OXY"/>
        <s v="PBCT"/>
        <s v="PBI"/>
        <s v="PCAR"/>
        <s v="PCG"/>
        <s v="PCLN"/>
        <s v="PDCO"/>
        <s v="PEG"/>
        <s v="PEP"/>
        <s v="PFE"/>
        <s v="PFG"/>
        <s v="PG"/>
        <s v="PGR"/>
        <s v="PH"/>
        <s v="PHM"/>
        <s v="PKI"/>
        <s v="PM"/>
        <s v="PNC"/>
        <s v="PNR"/>
        <s v="PNW"/>
        <s v="PPG"/>
        <s v="PPL"/>
        <s v="PRU"/>
        <s v="PSX"/>
        <s v="PVH"/>
        <s v="PWR"/>
        <s v="PX"/>
        <s v="QCOM"/>
        <s v="QRVO"/>
        <s v="R"/>
        <s v="RCL"/>
        <s v="REGN"/>
        <s v="RHI"/>
        <s v="RHT"/>
        <s v="RL"/>
        <s v="ROK"/>
        <s v="ROP"/>
        <s v="ROST"/>
        <s v="RRC"/>
        <s v="RSG"/>
        <s v="SBUX"/>
        <s v="SCG"/>
        <s v="SE"/>
        <s v="SEE"/>
        <s v="SHW"/>
        <s v="SIG"/>
        <s v="SJM"/>
        <s v="SLG"/>
        <s v="SNA"/>
        <s v="SNI"/>
        <s v="SO"/>
        <s v="SPG"/>
        <s v="SPLS"/>
        <s v="SRCL"/>
        <s v="SRE"/>
        <s v="STI"/>
        <s v="STX"/>
        <s v="STZ"/>
        <s v="SWK"/>
        <s v="SWKS"/>
        <s v="SWN"/>
        <s v="SYF"/>
        <s v="SYK"/>
        <s v="SYMC"/>
        <s v="SYY"/>
        <s v="T"/>
        <s v="TAP"/>
        <s v="TDC"/>
        <s v="TDG"/>
        <s v="TEL"/>
        <s v="TGNA"/>
        <s v="TGT"/>
        <s v="TIF"/>
        <s v="TJX"/>
        <s v="TMK"/>
        <s v="TMO"/>
        <s v="TRIP"/>
        <s v="TRV"/>
        <s v="TSCO"/>
        <s v="TSN"/>
        <s v="TSO"/>
        <s v="TSS"/>
        <s v="TXN"/>
        <s v="TXT"/>
        <s v="UA"/>
        <s v="UAA"/>
        <s v="UAL"/>
        <s v="UDR"/>
        <s v="ULTA"/>
        <s v="UNH"/>
        <s v="UNM"/>
        <s v="UNP"/>
        <s v="UPS"/>
        <s v="URBN"/>
        <s v="USB"/>
        <s v="UTX"/>
        <s v="V"/>
        <s v="VAR"/>
        <s v="VFC"/>
        <s v="VIAB"/>
        <s v="VLO"/>
        <s v="VMC"/>
        <s v="VNO"/>
        <s v="VRSK"/>
        <s v="VRSN"/>
        <s v="VRTX"/>
        <s v="VTR"/>
        <s v="VZ"/>
        <s v="WAT"/>
        <s v="WDC"/>
        <s v="WEC"/>
        <s v="WFC"/>
        <s v="WFM"/>
        <s v="WHR"/>
        <s v="WM"/>
        <s v="WMB"/>
        <s v="WMT"/>
        <s v="WRK"/>
        <s v="WU"/>
        <s v="WY"/>
        <s v="WYN"/>
        <s v="WYNN"/>
        <s v="XEC"/>
        <s v="XEL"/>
        <s v="XL"/>
        <s v="XLNX"/>
        <s v="XOM"/>
        <s v="XRAY"/>
        <s v="XRX"/>
        <s v="XYL"/>
        <s v="YHOO"/>
        <s v="YUM"/>
        <s v="ZBH"/>
        <s v="ZION"/>
        <s v="Z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1"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4"/>
  </r>
  <r>
    <x v="4"/>
  </r>
  <r>
    <x v="5"/>
  </r>
  <r>
    <x v="5"/>
  </r>
  <r>
    <x v="5"/>
  </r>
  <r>
    <x v="5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9"/>
  </r>
  <r>
    <x v="9"/>
  </r>
  <r>
    <x v="9"/>
  </r>
  <r>
    <x v="9"/>
  </r>
  <r>
    <x v="10"/>
  </r>
  <r>
    <x v="10"/>
  </r>
  <r>
    <x v="10"/>
  </r>
  <r>
    <x v="10"/>
  </r>
  <r>
    <x v="11"/>
  </r>
  <r>
    <x v="11"/>
  </r>
  <r>
    <x v="11"/>
  </r>
  <r>
    <x v="11"/>
  </r>
  <r>
    <x v="12"/>
  </r>
  <r>
    <x v="12"/>
  </r>
  <r>
    <x v="12"/>
  </r>
  <r>
    <x v="12"/>
  </r>
  <r>
    <x v="13"/>
  </r>
  <r>
    <x v="13"/>
  </r>
  <r>
    <x v="13"/>
  </r>
  <r>
    <x v="13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6"/>
  </r>
  <r>
    <x v="17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23"/>
  </r>
  <r>
    <x v="23"/>
  </r>
  <r>
    <x v="23"/>
  </r>
  <r>
    <x v="23"/>
  </r>
  <r>
    <x v="24"/>
  </r>
  <r>
    <x v="24"/>
  </r>
  <r>
    <x v="24"/>
  </r>
  <r>
    <x v="24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7"/>
  </r>
  <r>
    <x v="27"/>
  </r>
  <r>
    <x v="27"/>
  </r>
  <r>
    <x v="28"/>
  </r>
  <r>
    <x v="28"/>
  </r>
  <r>
    <x v="28"/>
  </r>
  <r>
    <x v="28"/>
  </r>
  <r>
    <x v="29"/>
  </r>
  <r>
    <x v="29"/>
  </r>
  <r>
    <x v="29"/>
  </r>
  <r>
    <x v="29"/>
  </r>
  <r>
    <x v="30"/>
  </r>
  <r>
    <x v="30"/>
  </r>
  <r>
    <x v="30"/>
  </r>
  <r>
    <x v="30"/>
  </r>
  <r>
    <x v="31"/>
  </r>
  <r>
    <x v="31"/>
  </r>
  <r>
    <x v="31"/>
  </r>
  <r>
    <x v="31"/>
  </r>
  <r>
    <x v="32"/>
  </r>
  <r>
    <x v="32"/>
  </r>
  <r>
    <x v="32"/>
  </r>
  <r>
    <x v="32"/>
  </r>
  <r>
    <x v="33"/>
  </r>
  <r>
    <x v="33"/>
  </r>
  <r>
    <x v="33"/>
  </r>
  <r>
    <x v="33"/>
  </r>
  <r>
    <x v="34"/>
  </r>
  <r>
    <x v="34"/>
  </r>
  <r>
    <x v="34"/>
  </r>
  <r>
    <x v="34"/>
  </r>
  <r>
    <x v="35"/>
  </r>
  <r>
    <x v="35"/>
  </r>
  <r>
    <x v="35"/>
  </r>
  <r>
    <x v="35"/>
  </r>
  <r>
    <x v="36"/>
  </r>
  <r>
    <x v="36"/>
  </r>
  <r>
    <x v="36"/>
  </r>
  <r>
    <x v="36"/>
  </r>
  <r>
    <x v="37"/>
  </r>
  <r>
    <x v="37"/>
  </r>
  <r>
    <x v="38"/>
  </r>
  <r>
    <x v="38"/>
  </r>
  <r>
    <x v="38"/>
  </r>
  <r>
    <x v="38"/>
  </r>
  <r>
    <x v="39"/>
  </r>
  <r>
    <x v="39"/>
  </r>
  <r>
    <x v="39"/>
  </r>
  <r>
    <x v="39"/>
  </r>
  <r>
    <x v="40"/>
  </r>
  <r>
    <x v="40"/>
  </r>
  <r>
    <x v="40"/>
  </r>
  <r>
    <x v="40"/>
  </r>
  <r>
    <x v="41"/>
  </r>
  <r>
    <x v="41"/>
  </r>
  <r>
    <x v="41"/>
  </r>
  <r>
    <x v="41"/>
  </r>
  <r>
    <x v="42"/>
  </r>
  <r>
    <x v="42"/>
  </r>
  <r>
    <x v="42"/>
  </r>
  <r>
    <x v="42"/>
  </r>
  <r>
    <x v="43"/>
  </r>
  <r>
    <x v="43"/>
  </r>
  <r>
    <x v="43"/>
  </r>
  <r>
    <x v="43"/>
  </r>
  <r>
    <x v="44"/>
  </r>
  <r>
    <x v="44"/>
  </r>
  <r>
    <x v="44"/>
  </r>
  <r>
    <x v="44"/>
  </r>
  <r>
    <x v="45"/>
  </r>
  <r>
    <x v="45"/>
  </r>
  <r>
    <x v="45"/>
  </r>
  <r>
    <x v="45"/>
  </r>
  <r>
    <x v="46"/>
  </r>
  <r>
    <x v="46"/>
  </r>
  <r>
    <x v="46"/>
  </r>
  <r>
    <x v="46"/>
  </r>
  <r>
    <x v="47"/>
  </r>
  <r>
    <x v="47"/>
  </r>
  <r>
    <x v="47"/>
  </r>
  <r>
    <x v="47"/>
  </r>
  <r>
    <x v="48"/>
  </r>
  <r>
    <x v="48"/>
  </r>
  <r>
    <x v="48"/>
  </r>
  <r>
    <x v="48"/>
  </r>
  <r>
    <x v="49"/>
  </r>
  <r>
    <x v="49"/>
  </r>
  <r>
    <x v="49"/>
  </r>
  <r>
    <x v="49"/>
  </r>
  <r>
    <x v="50"/>
  </r>
  <r>
    <x v="50"/>
  </r>
  <r>
    <x v="50"/>
  </r>
  <r>
    <x v="50"/>
  </r>
  <r>
    <x v="51"/>
  </r>
  <r>
    <x v="51"/>
  </r>
  <r>
    <x v="51"/>
  </r>
  <r>
    <x v="51"/>
  </r>
  <r>
    <x v="52"/>
  </r>
  <r>
    <x v="52"/>
  </r>
  <r>
    <x v="52"/>
  </r>
  <r>
    <x v="52"/>
  </r>
  <r>
    <x v="53"/>
  </r>
  <r>
    <x v="53"/>
  </r>
  <r>
    <x v="53"/>
  </r>
  <r>
    <x v="53"/>
  </r>
  <r>
    <x v="54"/>
  </r>
  <r>
    <x v="54"/>
  </r>
  <r>
    <x v="54"/>
  </r>
  <r>
    <x v="54"/>
  </r>
  <r>
    <x v="55"/>
  </r>
  <r>
    <x v="55"/>
  </r>
  <r>
    <x v="55"/>
  </r>
  <r>
    <x v="55"/>
  </r>
  <r>
    <x v="56"/>
  </r>
  <r>
    <x v="56"/>
  </r>
  <r>
    <x v="56"/>
  </r>
  <r>
    <x v="56"/>
  </r>
  <r>
    <x v="57"/>
  </r>
  <r>
    <x v="57"/>
  </r>
  <r>
    <x v="57"/>
  </r>
  <r>
    <x v="57"/>
  </r>
  <r>
    <x v="58"/>
  </r>
  <r>
    <x v="58"/>
  </r>
  <r>
    <x v="58"/>
  </r>
  <r>
    <x v="58"/>
  </r>
  <r>
    <x v="59"/>
  </r>
  <r>
    <x v="59"/>
  </r>
  <r>
    <x v="59"/>
  </r>
  <r>
    <x v="59"/>
  </r>
  <r>
    <x v="60"/>
  </r>
  <r>
    <x v="60"/>
  </r>
  <r>
    <x v="60"/>
  </r>
  <r>
    <x v="60"/>
  </r>
  <r>
    <x v="61"/>
  </r>
  <r>
    <x v="61"/>
  </r>
  <r>
    <x v="61"/>
  </r>
  <r>
    <x v="61"/>
  </r>
  <r>
    <x v="62"/>
  </r>
  <r>
    <x v="62"/>
  </r>
  <r>
    <x v="62"/>
  </r>
  <r>
    <x v="62"/>
  </r>
  <r>
    <x v="63"/>
  </r>
  <r>
    <x v="63"/>
  </r>
  <r>
    <x v="63"/>
  </r>
  <r>
    <x v="63"/>
  </r>
  <r>
    <x v="64"/>
  </r>
  <r>
    <x v="64"/>
  </r>
  <r>
    <x v="64"/>
  </r>
  <r>
    <x v="64"/>
  </r>
  <r>
    <x v="65"/>
  </r>
  <r>
    <x v="65"/>
  </r>
  <r>
    <x v="65"/>
  </r>
  <r>
    <x v="65"/>
  </r>
  <r>
    <x v="66"/>
  </r>
  <r>
    <x v="66"/>
  </r>
  <r>
    <x v="66"/>
  </r>
  <r>
    <x v="66"/>
  </r>
  <r>
    <x v="67"/>
  </r>
  <r>
    <x v="67"/>
  </r>
  <r>
    <x v="67"/>
  </r>
  <r>
    <x v="67"/>
  </r>
  <r>
    <x v="68"/>
  </r>
  <r>
    <x v="68"/>
  </r>
  <r>
    <x v="68"/>
  </r>
  <r>
    <x v="68"/>
  </r>
  <r>
    <x v="69"/>
  </r>
  <r>
    <x v="69"/>
  </r>
  <r>
    <x v="69"/>
  </r>
  <r>
    <x v="69"/>
  </r>
  <r>
    <x v="70"/>
  </r>
  <r>
    <x v="70"/>
  </r>
  <r>
    <x v="70"/>
  </r>
  <r>
    <x v="70"/>
  </r>
  <r>
    <x v="71"/>
  </r>
  <r>
    <x v="71"/>
  </r>
  <r>
    <x v="71"/>
  </r>
  <r>
    <x v="71"/>
  </r>
  <r>
    <x v="72"/>
  </r>
  <r>
    <x v="72"/>
  </r>
  <r>
    <x v="72"/>
  </r>
  <r>
    <x v="72"/>
  </r>
  <r>
    <x v="73"/>
  </r>
  <r>
    <x v="73"/>
  </r>
  <r>
    <x v="73"/>
  </r>
  <r>
    <x v="73"/>
  </r>
  <r>
    <x v="74"/>
  </r>
  <r>
    <x v="74"/>
  </r>
  <r>
    <x v="74"/>
  </r>
  <r>
    <x v="74"/>
  </r>
  <r>
    <x v="75"/>
  </r>
  <r>
    <x v="75"/>
  </r>
  <r>
    <x v="75"/>
  </r>
  <r>
    <x v="75"/>
  </r>
  <r>
    <x v="76"/>
  </r>
  <r>
    <x v="76"/>
  </r>
  <r>
    <x v="76"/>
  </r>
  <r>
    <x v="76"/>
  </r>
  <r>
    <x v="77"/>
  </r>
  <r>
    <x v="77"/>
  </r>
  <r>
    <x v="77"/>
  </r>
  <r>
    <x v="77"/>
  </r>
  <r>
    <x v="78"/>
  </r>
  <r>
    <x v="78"/>
  </r>
  <r>
    <x v="78"/>
  </r>
  <r>
    <x v="78"/>
  </r>
  <r>
    <x v="79"/>
  </r>
  <r>
    <x v="79"/>
  </r>
  <r>
    <x v="79"/>
  </r>
  <r>
    <x v="79"/>
  </r>
  <r>
    <x v="80"/>
  </r>
  <r>
    <x v="80"/>
  </r>
  <r>
    <x v="80"/>
  </r>
  <r>
    <x v="80"/>
  </r>
  <r>
    <x v="3"/>
  </r>
  <r>
    <x v="81"/>
  </r>
  <r>
    <x v="81"/>
  </r>
  <r>
    <x v="81"/>
  </r>
  <r>
    <x v="82"/>
  </r>
  <r>
    <x v="82"/>
  </r>
  <r>
    <x v="82"/>
  </r>
  <r>
    <x v="82"/>
  </r>
  <r>
    <x v="83"/>
  </r>
  <r>
    <x v="83"/>
  </r>
  <r>
    <x v="83"/>
  </r>
  <r>
    <x v="83"/>
  </r>
  <r>
    <x v="84"/>
  </r>
  <r>
    <x v="84"/>
  </r>
  <r>
    <x v="84"/>
  </r>
  <r>
    <x v="84"/>
  </r>
  <r>
    <x v="85"/>
  </r>
  <r>
    <x v="85"/>
  </r>
  <r>
    <x v="85"/>
  </r>
  <r>
    <x v="85"/>
  </r>
  <r>
    <x v="86"/>
  </r>
  <r>
    <x v="86"/>
  </r>
  <r>
    <x v="86"/>
  </r>
  <r>
    <x v="86"/>
  </r>
  <r>
    <x v="87"/>
  </r>
  <r>
    <x v="87"/>
  </r>
  <r>
    <x v="87"/>
  </r>
  <r>
    <x v="87"/>
  </r>
  <r>
    <x v="88"/>
  </r>
  <r>
    <x v="88"/>
  </r>
  <r>
    <x v="88"/>
  </r>
  <r>
    <x v="88"/>
  </r>
  <r>
    <x v="89"/>
  </r>
  <r>
    <x v="89"/>
  </r>
  <r>
    <x v="89"/>
  </r>
  <r>
    <x v="89"/>
  </r>
  <r>
    <x v="90"/>
  </r>
  <r>
    <x v="90"/>
  </r>
  <r>
    <x v="90"/>
  </r>
  <r>
    <x v="90"/>
  </r>
  <r>
    <x v="91"/>
  </r>
  <r>
    <x v="91"/>
  </r>
  <r>
    <x v="91"/>
  </r>
  <r>
    <x v="91"/>
  </r>
  <r>
    <x v="92"/>
  </r>
  <r>
    <x v="92"/>
  </r>
  <r>
    <x v="93"/>
  </r>
  <r>
    <x v="93"/>
  </r>
  <r>
    <x v="93"/>
  </r>
  <r>
    <x v="93"/>
  </r>
  <r>
    <x v="94"/>
  </r>
  <r>
    <x v="94"/>
  </r>
  <r>
    <x v="94"/>
  </r>
  <r>
    <x v="94"/>
  </r>
  <r>
    <x v="95"/>
  </r>
  <r>
    <x v="95"/>
  </r>
  <r>
    <x v="95"/>
  </r>
  <r>
    <x v="95"/>
  </r>
  <r>
    <x v="96"/>
  </r>
  <r>
    <x v="96"/>
  </r>
  <r>
    <x v="96"/>
  </r>
  <r>
    <x v="96"/>
  </r>
  <r>
    <x v="97"/>
  </r>
  <r>
    <x v="97"/>
  </r>
  <r>
    <x v="97"/>
  </r>
  <r>
    <x v="97"/>
  </r>
  <r>
    <x v="98"/>
  </r>
  <r>
    <x v="98"/>
  </r>
  <r>
    <x v="98"/>
  </r>
  <r>
    <x v="98"/>
  </r>
  <r>
    <x v="99"/>
  </r>
  <r>
    <x v="99"/>
  </r>
  <r>
    <x v="99"/>
  </r>
  <r>
    <x v="99"/>
  </r>
  <r>
    <x v="100"/>
  </r>
  <r>
    <x v="100"/>
  </r>
  <r>
    <x v="100"/>
  </r>
  <r>
    <x v="100"/>
  </r>
  <r>
    <x v="101"/>
  </r>
  <r>
    <x v="101"/>
  </r>
  <r>
    <x v="101"/>
  </r>
  <r>
    <x v="101"/>
  </r>
  <r>
    <x v="102"/>
  </r>
  <r>
    <x v="102"/>
  </r>
  <r>
    <x v="102"/>
  </r>
  <r>
    <x v="102"/>
  </r>
  <r>
    <x v="103"/>
  </r>
  <r>
    <x v="103"/>
  </r>
  <r>
    <x v="103"/>
  </r>
  <r>
    <x v="103"/>
  </r>
  <r>
    <x v="104"/>
  </r>
  <r>
    <x v="104"/>
  </r>
  <r>
    <x v="104"/>
  </r>
  <r>
    <x v="104"/>
  </r>
  <r>
    <x v="105"/>
  </r>
  <r>
    <x v="105"/>
  </r>
  <r>
    <x v="105"/>
  </r>
  <r>
    <x v="105"/>
  </r>
  <r>
    <x v="106"/>
  </r>
  <r>
    <x v="106"/>
  </r>
  <r>
    <x v="106"/>
  </r>
  <r>
    <x v="106"/>
  </r>
  <r>
    <x v="107"/>
  </r>
  <r>
    <x v="107"/>
  </r>
  <r>
    <x v="107"/>
  </r>
  <r>
    <x v="107"/>
  </r>
  <r>
    <x v="108"/>
  </r>
  <r>
    <x v="108"/>
  </r>
  <r>
    <x v="108"/>
  </r>
  <r>
    <x v="108"/>
  </r>
  <r>
    <x v="109"/>
  </r>
  <r>
    <x v="109"/>
  </r>
  <r>
    <x v="109"/>
  </r>
  <r>
    <x v="109"/>
  </r>
  <r>
    <x v="110"/>
  </r>
  <r>
    <x v="110"/>
  </r>
  <r>
    <x v="110"/>
  </r>
  <r>
    <x v="110"/>
  </r>
  <r>
    <x v="111"/>
  </r>
  <r>
    <x v="111"/>
  </r>
  <r>
    <x v="111"/>
  </r>
  <r>
    <x v="111"/>
  </r>
  <r>
    <x v="112"/>
  </r>
  <r>
    <x v="112"/>
  </r>
  <r>
    <x v="112"/>
  </r>
  <r>
    <x v="112"/>
  </r>
  <r>
    <x v="113"/>
  </r>
  <r>
    <x v="113"/>
  </r>
  <r>
    <x v="113"/>
  </r>
  <r>
    <x v="113"/>
  </r>
  <r>
    <x v="114"/>
  </r>
  <r>
    <x v="114"/>
  </r>
  <r>
    <x v="114"/>
  </r>
  <r>
    <x v="114"/>
  </r>
  <r>
    <x v="115"/>
  </r>
  <r>
    <x v="115"/>
  </r>
  <r>
    <x v="115"/>
  </r>
  <r>
    <x v="115"/>
  </r>
  <r>
    <x v="116"/>
  </r>
  <r>
    <x v="116"/>
  </r>
  <r>
    <x v="116"/>
  </r>
  <r>
    <x v="116"/>
  </r>
  <r>
    <x v="117"/>
  </r>
  <r>
    <x v="117"/>
  </r>
  <r>
    <x v="117"/>
  </r>
  <r>
    <x v="117"/>
  </r>
  <r>
    <x v="118"/>
  </r>
  <r>
    <x v="118"/>
  </r>
  <r>
    <x v="118"/>
  </r>
  <r>
    <x v="118"/>
  </r>
  <r>
    <x v="119"/>
  </r>
  <r>
    <x v="119"/>
  </r>
  <r>
    <x v="119"/>
  </r>
  <r>
    <x v="119"/>
  </r>
  <r>
    <x v="120"/>
  </r>
  <r>
    <x v="120"/>
  </r>
  <r>
    <x v="120"/>
  </r>
  <r>
    <x v="120"/>
  </r>
  <r>
    <x v="121"/>
  </r>
  <r>
    <x v="121"/>
  </r>
  <r>
    <x v="121"/>
  </r>
  <r>
    <x v="121"/>
  </r>
  <r>
    <x v="122"/>
  </r>
  <r>
    <x v="122"/>
  </r>
  <r>
    <x v="122"/>
  </r>
  <r>
    <x v="122"/>
  </r>
  <r>
    <x v="123"/>
  </r>
  <r>
    <x v="123"/>
  </r>
  <r>
    <x v="123"/>
  </r>
  <r>
    <x v="123"/>
  </r>
  <r>
    <x v="124"/>
  </r>
  <r>
    <x v="124"/>
  </r>
  <r>
    <x v="124"/>
  </r>
  <r>
    <x v="124"/>
  </r>
  <r>
    <x v="125"/>
  </r>
  <r>
    <x v="125"/>
  </r>
  <r>
    <x v="125"/>
  </r>
  <r>
    <x v="125"/>
  </r>
  <r>
    <x v="126"/>
  </r>
  <r>
    <x v="126"/>
  </r>
  <r>
    <x v="126"/>
  </r>
  <r>
    <x v="126"/>
  </r>
  <r>
    <x v="127"/>
  </r>
  <r>
    <x v="127"/>
  </r>
  <r>
    <x v="127"/>
  </r>
  <r>
    <x v="127"/>
  </r>
  <r>
    <x v="128"/>
  </r>
  <r>
    <x v="128"/>
  </r>
  <r>
    <x v="128"/>
  </r>
  <r>
    <x v="128"/>
  </r>
  <r>
    <x v="129"/>
  </r>
  <r>
    <x v="129"/>
  </r>
  <r>
    <x v="129"/>
  </r>
  <r>
    <x v="129"/>
  </r>
  <r>
    <x v="130"/>
  </r>
  <r>
    <x v="130"/>
  </r>
  <r>
    <x v="130"/>
  </r>
  <r>
    <x v="130"/>
  </r>
  <r>
    <x v="131"/>
  </r>
  <r>
    <x v="131"/>
  </r>
  <r>
    <x v="131"/>
  </r>
  <r>
    <x v="131"/>
  </r>
  <r>
    <x v="132"/>
  </r>
  <r>
    <x v="132"/>
  </r>
  <r>
    <x v="132"/>
  </r>
  <r>
    <x v="132"/>
  </r>
  <r>
    <x v="133"/>
  </r>
  <r>
    <x v="133"/>
  </r>
  <r>
    <x v="133"/>
  </r>
  <r>
    <x v="133"/>
  </r>
  <r>
    <x v="134"/>
  </r>
  <r>
    <x v="134"/>
  </r>
  <r>
    <x v="134"/>
  </r>
  <r>
    <x v="134"/>
  </r>
  <r>
    <x v="135"/>
  </r>
  <r>
    <x v="135"/>
  </r>
  <r>
    <x v="135"/>
  </r>
  <r>
    <x v="135"/>
  </r>
  <r>
    <x v="136"/>
  </r>
  <r>
    <x v="136"/>
  </r>
  <r>
    <x v="136"/>
  </r>
  <r>
    <x v="136"/>
  </r>
  <r>
    <x v="137"/>
  </r>
  <r>
    <x v="137"/>
  </r>
  <r>
    <x v="137"/>
  </r>
  <r>
    <x v="137"/>
  </r>
  <r>
    <x v="138"/>
  </r>
  <r>
    <x v="138"/>
  </r>
  <r>
    <x v="138"/>
  </r>
  <r>
    <x v="138"/>
  </r>
  <r>
    <x v="139"/>
  </r>
  <r>
    <x v="139"/>
  </r>
  <r>
    <x v="139"/>
  </r>
  <r>
    <x v="139"/>
  </r>
  <r>
    <x v="140"/>
  </r>
  <r>
    <x v="140"/>
  </r>
  <r>
    <x v="140"/>
  </r>
  <r>
    <x v="140"/>
  </r>
  <r>
    <x v="141"/>
  </r>
  <r>
    <x v="141"/>
  </r>
  <r>
    <x v="141"/>
  </r>
  <r>
    <x v="141"/>
  </r>
  <r>
    <x v="142"/>
  </r>
  <r>
    <x v="142"/>
  </r>
  <r>
    <x v="142"/>
  </r>
  <r>
    <x v="142"/>
  </r>
  <r>
    <x v="143"/>
  </r>
  <r>
    <x v="143"/>
  </r>
  <r>
    <x v="143"/>
  </r>
  <r>
    <x v="143"/>
  </r>
  <r>
    <x v="144"/>
  </r>
  <r>
    <x v="144"/>
  </r>
  <r>
    <x v="144"/>
  </r>
  <r>
    <x v="144"/>
  </r>
  <r>
    <x v="145"/>
  </r>
  <r>
    <x v="145"/>
  </r>
  <r>
    <x v="145"/>
  </r>
  <r>
    <x v="145"/>
  </r>
  <r>
    <x v="146"/>
  </r>
  <r>
    <x v="146"/>
  </r>
  <r>
    <x v="146"/>
  </r>
  <r>
    <x v="146"/>
  </r>
  <r>
    <x v="147"/>
  </r>
  <r>
    <x v="147"/>
  </r>
  <r>
    <x v="147"/>
  </r>
  <r>
    <x v="147"/>
  </r>
  <r>
    <x v="148"/>
  </r>
  <r>
    <x v="148"/>
  </r>
  <r>
    <x v="148"/>
  </r>
  <r>
    <x v="148"/>
  </r>
  <r>
    <x v="149"/>
  </r>
  <r>
    <x v="149"/>
  </r>
  <r>
    <x v="149"/>
  </r>
  <r>
    <x v="149"/>
  </r>
  <r>
    <x v="150"/>
  </r>
  <r>
    <x v="150"/>
  </r>
  <r>
    <x v="150"/>
  </r>
  <r>
    <x v="150"/>
  </r>
  <r>
    <x v="151"/>
  </r>
  <r>
    <x v="151"/>
  </r>
  <r>
    <x v="151"/>
  </r>
  <r>
    <x v="151"/>
  </r>
  <r>
    <x v="152"/>
  </r>
  <r>
    <x v="152"/>
  </r>
  <r>
    <x v="152"/>
  </r>
  <r>
    <x v="152"/>
  </r>
  <r>
    <x v="153"/>
  </r>
  <r>
    <x v="153"/>
  </r>
  <r>
    <x v="153"/>
  </r>
  <r>
    <x v="153"/>
  </r>
  <r>
    <x v="154"/>
  </r>
  <r>
    <x v="154"/>
  </r>
  <r>
    <x v="154"/>
  </r>
  <r>
    <x v="154"/>
  </r>
  <r>
    <x v="155"/>
  </r>
  <r>
    <x v="155"/>
  </r>
  <r>
    <x v="155"/>
  </r>
  <r>
    <x v="155"/>
  </r>
  <r>
    <x v="156"/>
  </r>
  <r>
    <x v="156"/>
  </r>
  <r>
    <x v="156"/>
  </r>
  <r>
    <x v="156"/>
  </r>
  <r>
    <x v="157"/>
  </r>
  <r>
    <x v="157"/>
  </r>
  <r>
    <x v="157"/>
  </r>
  <r>
    <x v="157"/>
  </r>
  <r>
    <x v="158"/>
  </r>
  <r>
    <x v="158"/>
  </r>
  <r>
    <x v="158"/>
  </r>
  <r>
    <x v="158"/>
  </r>
  <r>
    <x v="159"/>
  </r>
  <r>
    <x v="159"/>
  </r>
  <r>
    <x v="159"/>
  </r>
  <r>
    <x v="159"/>
  </r>
  <r>
    <x v="160"/>
  </r>
  <r>
    <x v="160"/>
  </r>
  <r>
    <x v="160"/>
  </r>
  <r>
    <x v="160"/>
  </r>
  <r>
    <x v="161"/>
  </r>
  <r>
    <x v="161"/>
  </r>
  <r>
    <x v="161"/>
  </r>
  <r>
    <x v="161"/>
  </r>
  <r>
    <x v="162"/>
  </r>
  <r>
    <x v="162"/>
  </r>
  <r>
    <x v="162"/>
  </r>
  <r>
    <x v="162"/>
  </r>
  <r>
    <x v="163"/>
  </r>
  <r>
    <x v="163"/>
  </r>
  <r>
    <x v="163"/>
  </r>
  <r>
    <x v="163"/>
  </r>
  <r>
    <x v="164"/>
  </r>
  <r>
    <x v="164"/>
  </r>
  <r>
    <x v="164"/>
  </r>
  <r>
    <x v="164"/>
  </r>
  <r>
    <x v="165"/>
  </r>
  <r>
    <x v="165"/>
  </r>
  <r>
    <x v="165"/>
  </r>
  <r>
    <x v="165"/>
  </r>
  <r>
    <x v="166"/>
  </r>
  <r>
    <x v="166"/>
  </r>
  <r>
    <x v="166"/>
  </r>
  <r>
    <x v="166"/>
  </r>
  <r>
    <x v="167"/>
  </r>
  <r>
    <x v="167"/>
  </r>
  <r>
    <x v="167"/>
  </r>
  <r>
    <x v="167"/>
  </r>
  <r>
    <x v="168"/>
  </r>
  <r>
    <x v="168"/>
  </r>
  <r>
    <x v="168"/>
  </r>
  <r>
    <x v="168"/>
  </r>
  <r>
    <x v="169"/>
  </r>
  <r>
    <x v="169"/>
  </r>
  <r>
    <x v="169"/>
  </r>
  <r>
    <x v="169"/>
  </r>
  <r>
    <x v="170"/>
  </r>
  <r>
    <x v="170"/>
  </r>
  <r>
    <x v="170"/>
  </r>
  <r>
    <x v="170"/>
  </r>
  <r>
    <x v="171"/>
  </r>
  <r>
    <x v="171"/>
  </r>
  <r>
    <x v="171"/>
  </r>
  <r>
    <x v="171"/>
  </r>
  <r>
    <x v="172"/>
  </r>
  <r>
    <x v="172"/>
  </r>
  <r>
    <x v="172"/>
  </r>
  <r>
    <x v="172"/>
  </r>
  <r>
    <x v="173"/>
  </r>
  <r>
    <x v="173"/>
  </r>
  <r>
    <x v="173"/>
  </r>
  <r>
    <x v="173"/>
  </r>
  <r>
    <x v="174"/>
  </r>
  <r>
    <x v="174"/>
  </r>
  <r>
    <x v="174"/>
  </r>
  <r>
    <x v="174"/>
  </r>
  <r>
    <x v="175"/>
  </r>
  <r>
    <x v="175"/>
  </r>
  <r>
    <x v="175"/>
  </r>
  <r>
    <x v="175"/>
  </r>
  <r>
    <x v="176"/>
  </r>
  <r>
    <x v="176"/>
  </r>
  <r>
    <x v="176"/>
  </r>
  <r>
    <x v="176"/>
  </r>
  <r>
    <x v="177"/>
  </r>
  <r>
    <x v="177"/>
  </r>
  <r>
    <x v="177"/>
  </r>
  <r>
    <x v="177"/>
  </r>
  <r>
    <x v="178"/>
  </r>
  <r>
    <x v="178"/>
  </r>
  <r>
    <x v="178"/>
  </r>
  <r>
    <x v="178"/>
  </r>
  <r>
    <x v="179"/>
  </r>
  <r>
    <x v="179"/>
  </r>
  <r>
    <x v="179"/>
  </r>
  <r>
    <x v="179"/>
  </r>
  <r>
    <x v="180"/>
  </r>
  <r>
    <x v="180"/>
  </r>
  <r>
    <x v="180"/>
  </r>
  <r>
    <x v="180"/>
  </r>
  <r>
    <x v="181"/>
  </r>
  <r>
    <x v="181"/>
  </r>
  <r>
    <x v="181"/>
  </r>
  <r>
    <x v="181"/>
  </r>
  <r>
    <x v="182"/>
  </r>
  <r>
    <x v="182"/>
  </r>
  <r>
    <x v="182"/>
  </r>
  <r>
    <x v="182"/>
  </r>
  <r>
    <x v="183"/>
  </r>
  <r>
    <x v="183"/>
  </r>
  <r>
    <x v="183"/>
  </r>
  <r>
    <x v="183"/>
  </r>
  <r>
    <x v="184"/>
  </r>
  <r>
    <x v="184"/>
  </r>
  <r>
    <x v="184"/>
  </r>
  <r>
    <x v="184"/>
  </r>
  <r>
    <x v="185"/>
  </r>
  <r>
    <x v="185"/>
  </r>
  <r>
    <x v="185"/>
  </r>
  <r>
    <x v="185"/>
  </r>
  <r>
    <x v="186"/>
  </r>
  <r>
    <x v="186"/>
  </r>
  <r>
    <x v="186"/>
  </r>
  <r>
    <x v="186"/>
  </r>
  <r>
    <x v="187"/>
  </r>
  <r>
    <x v="187"/>
  </r>
  <r>
    <x v="187"/>
  </r>
  <r>
    <x v="187"/>
  </r>
  <r>
    <x v="188"/>
  </r>
  <r>
    <x v="188"/>
  </r>
  <r>
    <x v="188"/>
  </r>
  <r>
    <x v="188"/>
  </r>
  <r>
    <x v="189"/>
  </r>
  <r>
    <x v="189"/>
  </r>
  <r>
    <x v="189"/>
  </r>
  <r>
    <x v="189"/>
  </r>
  <r>
    <x v="190"/>
  </r>
  <r>
    <x v="190"/>
  </r>
  <r>
    <x v="190"/>
  </r>
  <r>
    <x v="190"/>
  </r>
  <r>
    <x v="191"/>
  </r>
  <r>
    <x v="191"/>
  </r>
  <r>
    <x v="191"/>
  </r>
  <r>
    <x v="192"/>
  </r>
  <r>
    <x v="192"/>
  </r>
  <r>
    <x v="192"/>
  </r>
  <r>
    <x v="192"/>
  </r>
  <r>
    <x v="193"/>
  </r>
  <r>
    <x v="193"/>
  </r>
  <r>
    <x v="193"/>
  </r>
  <r>
    <x v="193"/>
  </r>
  <r>
    <x v="194"/>
  </r>
  <r>
    <x v="194"/>
  </r>
  <r>
    <x v="194"/>
  </r>
  <r>
    <x v="194"/>
  </r>
  <r>
    <x v="195"/>
  </r>
  <r>
    <x v="195"/>
  </r>
  <r>
    <x v="195"/>
  </r>
  <r>
    <x v="195"/>
  </r>
  <r>
    <x v="196"/>
  </r>
  <r>
    <x v="196"/>
  </r>
  <r>
    <x v="196"/>
  </r>
  <r>
    <x v="196"/>
  </r>
  <r>
    <x v="197"/>
  </r>
  <r>
    <x v="197"/>
  </r>
  <r>
    <x v="197"/>
  </r>
  <r>
    <x v="197"/>
  </r>
  <r>
    <x v="198"/>
  </r>
  <r>
    <x v="198"/>
  </r>
  <r>
    <x v="198"/>
  </r>
  <r>
    <x v="198"/>
  </r>
  <r>
    <x v="199"/>
  </r>
  <r>
    <x v="199"/>
  </r>
  <r>
    <x v="199"/>
  </r>
  <r>
    <x v="199"/>
  </r>
  <r>
    <x v="200"/>
  </r>
  <r>
    <x v="200"/>
  </r>
  <r>
    <x v="200"/>
  </r>
  <r>
    <x v="200"/>
  </r>
  <r>
    <x v="201"/>
  </r>
  <r>
    <x v="201"/>
  </r>
  <r>
    <x v="201"/>
  </r>
  <r>
    <x v="201"/>
  </r>
  <r>
    <x v="202"/>
  </r>
  <r>
    <x v="202"/>
  </r>
  <r>
    <x v="202"/>
  </r>
  <r>
    <x v="202"/>
  </r>
  <r>
    <x v="203"/>
  </r>
  <r>
    <x v="203"/>
  </r>
  <r>
    <x v="203"/>
  </r>
  <r>
    <x v="203"/>
  </r>
  <r>
    <x v="204"/>
  </r>
  <r>
    <x v="204"/>
  </r>
  <r>
    <x v="204"/>
  </r>
  <r>
    <x v="204"/>
  </r>
  <r>
    <x v="205"/>
  </r>
  <r>
    <x v="205"/>
  </r>
  <r>
    <x v="205"/>
  </r>
  <r>
    <x v="205"/>
  </r>
  <r>
    <x v="206"/>
  </r>
  <r>
    <x v="206"/>
  </r>
  <r>
    <x v="206"/>
  </r>
  <r>
    <x v="206"/>
  </r>
  <r>
    <x v="207"/>
  </r>
  <r>
    <x v="207"/>
  </r>
  <r>
    <x v="207"/>
  </r>
  <r>
    <x v="207"/>
  </r>
  <r>
    <x v="208"/>
  </r>
  <r>
    <x v="208"/>
  </r>
  <r>
    <x v="208"/>
  </r>
  <r>
    <x v="208"/>
  </r>
  <r>
    <x v="209"/>
  </r>
  <r>
    <x v="209"/>
  </r>
  <r>
    <x v="209"/>
  </r>
  <r>
    <x v="209"/>
  </r>
  <r>
    <x v="210"/>
  </r>
  <r>
    <x v="210"/>
  </r>
  <r>
    <x v="210"/>
  </r>
  <r>
    <x v="210"/>
  </r>
  <r>
    <x v="211"/>
  </r>
  <r>
    <x v="211"/>
  </r>
  <r>
    <x v="211"/>
  </r>
  <r>
    <x v="211"/>
  </r>
  <r>
    <x v="212"/>
  </r>
  <r>
    <x v="212"/>
  </r>
  <r>
    <x v="212"/>
  </r>
  <r>
    <x v="212"/>
  </r>
  <r>
    <x v="213"/>
  </r>
  <r>
    <x v="213"/>
  </r>
  <r>
    <x v="213"/>
  </r>
  <r>
    <x v="213"/>
  </r>
  <r>
    <x v="214"/>
  </r>
  <r>
    <x v="214"/>
  </r>
  <r>
    <x v="214"/>
  </r>
  <r>
    <x v="214"/>
  </r>
  <r>
    <x v="215"/>
  </r>
  <r>
    <x v="215"/>
  </r>
  <r>
    <x v="215"/>
  </r>
  <r>
    <x v="215"/>
  </r>
  <r>
    <x v="216"/>
  </r>
  <r>
    <x v="216"/>
  </r>
  <r>
    <x v="216"/>
  </r>
  <r>
    <x v="216"/>
  </r>
  <r>
    <x v="217"/>
  </r>
  <r>
    <x v="217"/>
  </r>
  <r>
    <x v="217"/>
  </r>
  <r>
    <x v="217"/>
  </r>
  <r>
    <x v="218"/>
  </r>
  <r>
    <x v="218"/>
  </r>
  <r>
    <x v="218"/>
  </r>
  <r>
    <x v="218"/>
  </r>
  <r>
    <x v="219"/>
  </r>
  <r>
    <x v="219"/>
  </r>
  <r>
    <x v="219"/>
  </r>
  <r>
    <x v="219"/>
  </r>
  <r>
    <x v="220"/>
  </r>
  <r>
    <x v="220"/>
  </r>
  <r>
    <x v="220"/>
  </r>
  <r>
    <x v="220"/>
  </r>
  <r>
    <x v="221"/>
  </r>
  <r>
    <x v="221"/>
  </r>
  <r>
    <x v="221"/>
  </r>
  <r>
    <x v="221"/>
  </r>
  <r>
    <x v="222"/>
  </r>
  <r>
    <x v="222"/>
  </r>
  <r>
    <x v="222"/>
  </r>
  <r>
    <x v="222"/>
  </r>
  <r>
    <x v="223"/>
  </r>
  <r>
    <x v="223"/>
  </r>
  <r>
    <x v="223"/>
  </r>
  <r>
    <x v="223"/>
  </r>
  <r>
    <x v="224"/>
  </r>
  <r>
    <x v="224"/>
  </r>
  <r>
    <x v="224"/>
  </r>
  <r>
    <x v="224"/>
  </r>
  <r>
    <x v="225"/>
  </r>
  <r>
    <x v="225"/>
  </r>
  <r>
    <x v="225"/>
  </r>
  <r>
    <x v="225"/>
  </r>
  <r>
    <x v="226"/>
  </r>
  <r>
    <x v="226"/>
  </r>
  <r>
    <x v="226"/>
  </r>
  <r>
    <x v="226"/>
  </r>
  <r>
    <x v="227"/>
  </r>
  <r>
    <x v="227"/>
  </r>
  <r>
    <x v="227"/>
  </r>
  <r>
    <x v="227"/>
  </r>
  <r>
    <x v="228"/>
  </r>
  <r>
    <x v="228"/>
  </r>
  <r>
    <x v="228"/>
  </r>
  <r>
    <x v="228"/>
  </r>
  <r>
    <x v="229"/>
  </r>
  <r>
    <x v="229"/>
  </r>
  <r>
    <x v="229"/>
  </r>
  <r>
    <x v="229"/>
  </r>
  <r>
    <x v="230"/>
  </r>
  <r>
    <x v="230"/>
  </r>
  <r>
    <x v="230"/>
  </r>
  <r>
    <x v="230"/>
  </r>
  <r>
    <x v="231"/>
  </r>
  <r>
    <x v="231"/>
  </r>
  <r>
    <x v="231"/>
  </r>
  <r>
    <x v="231"/>
  </r>
  <r>
    <x v="232"/>
  </r>
  <r>
    <x v="232"/>
  </r>
  <r>
    <x v="232"/>
  </r>
  <r>
    <x v="232"/>
  </r>
  <r>
    <x v="233"/>
  </r>
  <r>
    <x v="233"/>
  </r>
  <r>
    <x v="233"/>
  </r>
  <r>
    <x v="233"/>
  </r>
  <r>
    <x v="234"/>
  </r>
  <r>
    <x v="234"/>
  </r>
  <r>
    <x v="234"/>
  </r>
  <r>
    <x v="234"/>
  </r>
  <r>
    <x v="235"/>
  </r>
  <r>
    <x v="235"/>
  </r>
  <r>
    <x v="235"/>
  </r>
  <r>
    <x v="235"/>
  </r>
  <r>
    <x v="236"/>
  </r>
  <r>
    <x v="236"/>
  </r>
  <r>
    <x v="236"/>
  </r>
  <r>
    <x v="236"/>
  </r>
  <r>
    <x v="237"/>
  </r>
  <r>
    <x v="237"/>
  </r>
  <r>
    <x v="237"/>
  </r>
  <r>
    <x v="237"/>
  </r>
  <r>
    <x v="238"/>
  </r>
  <r>
    <x v="238"/>
  </r>
  <r>
    <x v="238"/>
  </r>
  <r>
    <x v="238"/>
  </r>
  <r>
    <x v="239"/>
  </r>
  <r>
    <x v="239"/>
  </r>
  <r>
    <x v="239"/>
  </r>
  <r>
    <x v="239"/>
  </r>
  <r>
    <x v="240"/>
  </r>
  <r>
    <x v="240"/>
  </r>
  <r>
    <x v="240"/>
  </r>
  <r>
    <x v="240"/>
  </r>
  <r>
    <x v="241"/>
  </r>
  <r>
    <x v="241"/>
  </r>
  <r>
    <x v="241"/>
  </r>
  <r>
    <x v="241"/>
  </r>
  <r>
    <x v="242"/>
  </r>
  <r>
    <x v="242"/>
  </r>
  <r>
    <x v="242"/>
  </r>
  <r>
    <x v="242"/>
  </r>
  <r>
    <x v="243"/>
  </r>
  <r>
    <x v="243"/>
  </r>
  <r>
    <x v="243"/>
  </r>
  <r>
    <x v="243"/>
  </r>
  <r>
    <x v="244"/>
  </r>
  <r>
    <x v="244"/>
  </r>
  <r>
    <x v="244"/>
  </r>
  <r>
    <x v="244"/>
  </r>
  <r>
    <x v="245"/>
  </r>
  <r>
    <x v="245"/>
  </r>
  <r>
    <x v="245"/>
  </r>
  <r>
    <x v="245"/>
  </r>
  <r>
    <x v="246"/>
  </r>
  <r>
    <x v="246"/>
  </r>
  <r>
    <x v="246"/>
  </r>
  <r>
    <x v="246"/>
  </r>
  <r>
    <x v="247"/>
  </r>
  <r>
    <x v="247"/>
  </r>
  <r>
    <x v="247"/>
  </r>
  <r>
    <x v="247"/>
  </r>
  <r>
    <x v="248"/>
  </r>
  <r>
    <x v="248"/>
  </r>
  <r>
    <x v="248"/>
  </r>
  <r>
    <x v="248"/>
  </r>
  <r>
    <x v="249"/>
  </r>
  <r>
    <x v="249"/>
  </r>
  <r>
    <x v="249"/>
  </r>
  <r>
    <x v="249"/>
  </r>
  <r>
    <x v="250"/>
  </r>
  <r>
    <x v="250"/>
  </r>
  <r>
    <x v="250"/>
  </r>
  <r>
    <x v="250"/>
  </r>
  <r>
    <x v="251"/>
  </r>
  <r>
    <x v="251"/>
  </r>
  <r>
    <x v="251"/>
  </r>
  <r>
    <x v="251"/>
  </r>
  <r>
    <x v="252"/>
  </r>
  <r>
    <x v="252"/>
  </r>
  <r>
    <x v="252"/>
  </r>
  <r>
    <x v="252"/>
  </r>
  <r>
    <x v="253"/>
  </r>
  <r>
    <x v="253"/>
  </r>
  <r>
    <x v="253"/>
  </r>
  <r>
    <x v="253"/>
  </r>
  <r>
    <x v="254"/>
  </r>
  <r>
    <x v="254"/>
  </r>
  <r>
    <x v="254"/>
  </r>
  <r>
    <x v="254"/>
  </r>
  <r>
    <x v="255"/>
  </r>
  <r>
    <x v="255"/>
  </r>
  <r>
    <x v="255"/>
  </r>
  <r>
    <x v="255"/>
  </r>
  <r>
    <x v="256"/>
  </r>
  <r>
    <x v="256"/>
  </r>
  <r>
    <x v="256"/>
  </r>
  <r>
    <x v="256"/>
  </r>
  <r>
    <x v="257"/>
  </r>
  <r>
    <x v="257"/>
  </r>
  <r>
    <x v="257"/>
  </r>
  <r>
    <x v="257"/>
  </r>
  <r>
    <x v="258"/>
  </r>
  <r>
    <x v="258"/>
  </r>
  <r>
    <x v="258"/>
  </r>
  <r>
    <x v="258"/>
  </r>
  <r>
    <x v="259"/>
  </r>
  <r>
    <x v="259"/>
  </r>
  <r>
    <x v="259"/>
  </r>
  <r>
    <x v="259"/>
  </r>
  <r>
    <x v="260"/>
  </r>
  <r>
    <x v="260"/>
  </r>
  <r>
    <x v="260"/>
  </r>
  <r>
    <x v="260"/>
  </r>
  <r>
    <x v="261"/>
  </r>
  <r>
    <x v="261"/>
  </r>
  <r>
    <x v="261"/>
  </r>
  <r>
    <x v="261"/>
  </r>
  <r>
    <x v="262"/>
  </r>
  <r>
    <x v="262"/>
  </r>
  <r>
    <x v="262"/>
  </r>
  <r>
    <x v="262"/>
  </r>
  <r>
    <x v="263"/>
  </r>
  <r>
    <x v="263"/>
  </r>
  <r>
    <x v="263"/>
  </r>
  <r>
    <x v="263"/>
  </r>
  <r>
    <x v="264"/>
  </r>
  <r>
    <x v="264"/>
  </r>
  <r>
    <x v="264"/>
  </r>
  <r>
    <x v="264"/>
  </r>
  <r>
    <x v="265"/>
  </r>
  <r>
    <x v="265"/>
  </r>
  <r>
    <x v="265"/>
  </r>
  <r>
    <x v="265"/>
  </r>
  <r>
    <x v="266"/>
  </r>
  <r>
    <x v="266"/>
  </r>
  <r>
    <x v="266"/>
  </r>
  <r>
    <x v="266"/>
  </r>
  <r>
    <x v="267"/>
  </r>
  <r>
    <x v="267"/>
  </r>
  <r>
    <x v="267"/>
  </r>
  <r>
    <x v="267"/>
  </r>
  <r>
    <x v="268"/>
  </r>
  <r>
    <x v="268"/>
  </r>
  <r>
    <x v="268"/>
  </r>
  <r>
    <x v="268"/>
  </r>
  <r>
    <x v="269"/>
  </r>
  <r>
    <x v="269"/>
  </r>
  <r>
    <x v="269"/>
  </r>
  <r>
    <x v="269"/>
  </r>
  <r>
    <x v="270"/>
  </r>
  <r>
    <x v="270"/>
  </r>
  <r>
    <x v="270"/>
  </r>
  <r>
    <x v="270"/>
  </r>
  <r>
    <x v="271"/>
  </r>
  <r>
    <x v="271"/>
  </r>
  <r>
    <x v="271"/>
  </r>
  <r>
    <x v="271"/>
  </r>
  <r>
    <x v="272"/>
  </r>
  <r>
    <x v="272"/>
  </r>
  <r>
    <x v="272"/>
  </r>
  <r>
    <x v="272"/>
  </r>
  <r>
    <x v="273"/>
  </r>
  <r>
    <x v="273"/>
  </r>
  <r>
    <x v="273"/>
  </r>
  <r>
    <x v="273"/>
  </r>
  <r>
    <x v="274"/>
  </r>
  <r>
    <x v="274"/>
  </r>
  <r>
    <x v="274"/>
  </r>
  <r>
    <x v="274"/>
  </r>
  <r>
    <x v="275"/>
  </r>
  <r>
    <x v="275"/>
  </r>
  <r>
    <x v="275"/>
  </r>
  <r>
    <x v="275"/>
  </r>
  <r>
    <x v="276"/>
  </r>
  <r>
    <x v="276"/>
  </r>
  <r>
    <x v="277"/>
  </r>
  <r>
    <x v="277"/>
  </r>
  <r>
    <x v="277"/>
  </r>
  <r>
    <x v="277"/>
  </r>
  <r>
    <x v="278"/>
  </r>
  <r>
    <x v="278"/>
  </r>
  <r>
    <x v="278"/>
  </r>
  <r>
    <x v="278"/>
  </r>
  <r>
    <x v="279"/>
  </r>
  <r>
    <x v="279"/>
  </r>
  <r>
    <x v="279"/>
  </r>
  <r>
    <x v="279"/>
  </r>
  <r>
    <x v="280"/>
  </r>
  <r>
    <x v="280"/>
  </r>
  <r>
    <x v="280"/>
  </r>
  <r>
    <x v="280"/>
  </r>
  <r>
    <x v="281"/>
  </r>
  <r>
    <x v="281"/>
  </r>
  <r>
    <x v="281"/>
  </r>
  <r>
    <x v="281"/>
  </r>
  <r>
    <x v="282"/>
  </r>
  <r>
    <x v="282"/>
  </r>
  <r>
    <x v="282"/>
  </r>
  <r>
    <x v="282"/>
  </r>
  <r>
    <x v="283"/>
  </r>
  <r>
    <x v="283"/>
  </r>
  <r>
    <x v="283"/>
  </r>
  <r>
    <x v="283"/>
  </r>
  <r>
    <x v="284"/>
  </r>
  <r>
    <x v="284"/>
  </r>
  <r>
    <x v="284"/>
  </r>
  <r>
    <x v="284"/>
  </r>
  <r>
    <x v="285"/>
  </r>
  <r>
    <x v="285"/>
  </r>
  <r>
    <x v="285"/>
  </r>
  <r>
    <x v="285"/>
  </r>
  <r>
    <x v="286"/>
  </r>
  <r>
    <x v="286"/>
  </r>
  <r>
    <x v="286"/>
  </r>
  <r>
    <x v="286"/>
  </r>
  <r>
    <x v="287"/>
  </r>
  <r>
    <x v="287"/>
  </r>
  <r>
    <x v="287"/>
  </r>
  <r>
    <x v="287"/>
  </r>
  <r>
    <x v="288"/>
  </r>
  <r>
    <x v="288"/>
  </r>
  <r>
    <x v="288"/>
  </r>
  <r>
    <x v="288"/>
  </r>
  <r>
    <x v="289"/>
  </r>
  <r>
    <x v="289"/>
  </r>
  <r>
    <x v="289"/>
  </r>
  <r>
    <x v="289"/>
  </r>
  <r>
    <x v="290"/>
  </r>
  <r>
    <x v="290"/>
  </r>
  <r>
    <x v="290"/>
  </r>
  <r>
    <x v="290"/>
  </r>
  <r>
    <x v="291"/>
  </r>
  <r>
    <x v="291"/>
  </r>
  <r>
    <x v="291"/>
  </r>
  <r>
    <x v="291"/>
  </r>
  <r>
    <x v="292"/>
  </r>
  <r>
    <x v="292"/>
  </r>
  <r>
    <x v="292"/>
  </r>
  <r>
    <x v="292"/>
  </r>
  <r>
    <x v="293"/>
  </r>
  <r>
    <x v="293"/>
  </r>
  <r>
    <x v="293"/>
  </r>
  <r>
    <x v="294"/>
  </r>
  <r>
    <x v="294"/>
  </r>
  <r>
    <x v="294"/>
  </r>
  <r>
    <x v="294"/>
  </r>
  <r>
    <x v="295"/>
  </r>
  <r>
    <x v="295"/>
  </r>
  <r>
    <x v="295"/>
  </r>
  <r>
    <x v="295"/>
  </r>
  <r>
    <x v="296"/>
  </r>
  <r>
    <x v="296"/>
  </r>
  <r>
    <x v="296"/>
  </r>
  <r>
    <x v="296"/>
  </r>
  <r>
    <x v="297"/>
  </r>
  <r>
    <x v="297"/>
  </r>
  <r>
    <x v="297"/>
  </r>
  <r>
    <x v="297"/>
  </r>
  <r>
    <x v="298"/>
  </r>
  <r>
    <x v="298"/>
  </r>
  <r>
    <x v="298"/>
  </r>
  <r>
    <x v="298"/>
  </r>
  <r>
    <x v="299"/>
  </r>
  <r>
    <x v="299"/>
  </r>
  <r>
    <x v="299"/>
  </r>
  <r>
    <x v="299"/>
  </r>
  <r>
    <x v="300"/>
  </r>
  <r>
    <x v="300"/>
  </r>
  <r>
    <x v="300"/>
  </r>
  <r>
    <x v="300"/>
  </r>
  <r>
    <x v="301"/>
  </r>
  <r>
    <x v="301"/>
  </r>
  <r>
    <x v="301"/>
  </r>
  <r>
    <x v="301"/>
  </r>
  <r>
    <x v="302"/>
  </r>
  <r>
    <x v="302"/>
  </r>
  <r>
    <x v="302"/>
  </r>
  <r>
    <x v="302"/>
  </r>
  <r>
    <x v="303"/>
  </r>
  <r>
    <x v="303"/>
  </r>
  <r>
    <x v="303"/>
  </r>
  <r>
    <x v="303"/>
  </r>
  <r>
    <x v="304"/>
  </r>
  <r>
    <x v="304"/>
  </r>
  <r>
    <x v="304"/>
  </r>
  <r>
    <x v="304"/>
  </r>
  <r>
    <x v="305"/>
  </r>
  <r>
    <x v="305"/>
  </r>
  <r>
    <x v="305"/>
  </r>
  <r>
    <x v="305"/>
  </r>
  <r>
    <x v="306"/>
  </r>
  <r>
    <x v="306"/>
  </r>
  <r>
    <x v="306"/>
  </r>
  <r>
    <x v="306"/>
  </r>
  <r>
    <x v="307"/>
  </r>
  <r>
    <x v="307"/>
  </r>
  <r>
    <x v="307"/>
  </r>
  <r>
    <x v="307"/>
  </r>
  <r>
    <x v="308"/>
  </r>
  <r>
    <x v="308"/>
  </r>
  <r>
    <x v="308"/>
  </r>
  <r>
    <x v="308"/>
  </r>
  <r>
    <x v="309"/>
  </r>
  <r>
    <x v="309"/>
  </r>
  <r>
    <x v="309"/>
  </r>
  <r>
    <x v="309"/>
  </r>
  <r>
    <x v="310"/>
  </r>
  <r>
    <x v="310"/>
  </r>
  <r>
    <x v="310"/>
  </r>
  <r>
    <x v="310"/>
  </r>
  <r>
    <x v="311"/>
  </r>
  <r>
    <x v="311"/>
  </r>
  <r>
    <x v="311"/>
  </r>
  <r>
    <x v="311"/>
  </r>
  <r>
    <x v="312"/>
  </r>
  <r>
    <x v="312"/>
  </r>
  <r>
    <x v="312"/>
  </r>
  <r>
    <x v="312"/>
  </r>
  <r>
    <x v="313"/>
  </r>
  <r>
    <x v="313"/>
  </r>
  <r>
    <x v="313"/>
  </r>
  <r>
    <x v="313"/>
  </r>
  <r>
    <x v="314"/>
  </r>
  <r>
    <x v="314"/>
  </r>
  <r>
    <x v="314"/>
  </r>
  <r>
    <x v="314"/>
  </r>
  <r>
    <x v="315"/>
  </r>
  <r>
    <x v="315"/>
  </r>
  <r>
    <x v="315"/>
  </r>
  <r>
    <x v="315"/>
  </r>
  <r>
    <x v="316"/>
  </r>
  <r>
    <x v="316"/>
  </r>
  <r>
    <x v="316"/>
  </r>
  <r>
    <x v="316"/>
  </r>
  <r>
    <x v="317"/>
  </r>
  <r>
    <x v="317"/>
  </r>
  <r>
    <x v="317"/>
  </r>
  <r>
    <x v="317"/>
  </r>
  <r>
    <x v="318"/>
  </r>
  <r>
    <x v="318"/>
  </r>
  <r>
    <x v="318"/>
  </r>
  <r>
    <x v="318"/>
  </r>
  <r>
    <x v="319"/>
  </r>
  <r>
    <x v="319"/>
  </r>
  <r>
    <x v="319"/>
  </r>
  <r>
    <x v="319"/>
  </r>
  <r>
    <x v="320"/>
  </r>
  <r>
    <x v="320"/>
  </r>
  <r>
    <x v="320"/>
  </r>
  <r>
    <x v="320"/>
  </r>
  <r>
    <x v="321"/>
  </r>
  <r>
    <x v="321"/>
  </r>
  <r>
    <x v="321"/>
  </r>
  <r>
    <x v="321"/>
  </r>
  <r>
    <x v="322"/>
  </r>
  <r>
    <x v="322"/>
  </r>
  <r>
    <x v="322"/>
  </r>
  <r>
    <x v="322"/>
  </r>
  <r>
    <x v="323"/>
  </r>
  <r>
    <x v="323"/>
  </r>
  <r>
    <x v="323"/>
  </r>
  <r>
    <x v="324"/>
  </r>
  <r>
    <x v="324"/>
  </r>
  <r>
    <x v="324"/>
  </r>
  <r>
    <x v="324"/>
  </r>
  <r>
    <x v="325"/>
  </r>
  <r>
    <x v="325"/>
  </r>
  <r>
    <x v="325"/>
  </r>
  <r>
    <x v="325"/>
  </r>
  <r>
    <x v="326"/>
  </r>
  <r>
    <x v="326"/>
  </r>
  <r>
    <x v="326"/>
  </r>
  <r>
    <x v="326"/>
  </r>
  <r>
    <x v="327"/>
  </r>
  <r>
    <x v="327"/>
  </r>
  <r>
    <x v="327"/>
  </r>
  <r>
    <x v="327"/>
  </r>
  <r>
    <x v="328"/>
  </r>
  <r>
    <x v="328"/>
  </r>
  <r>
    <x v="328"/>
  </r>
  <r>
    <x v="328"/>
  </r>
  <r>
    <x v="329"/>
  </r>
  <r>
    <x v="329"/>
  </r>
  <r>
    <x v="329"/>
  </r>
  <r>
    <x v="329"/>
  </r>
  <r>
    <x v="330"/>
  </r>
  <r>
    <x v="330"/>
  </r>
  <r>
    <x v="330"/>
  </r>
  <r>
    <x v="330"/>
  </r>
  <r>
    <x v="331"/>
  </r>
  <r>
    <x v="331"/>
  </r>
  <r>
    <x v="331"/>
  </r>
  <r>
    <x v="331"/>
  </r>
  <r>
    <x v="332"/>
  </r>
  <r>
    <x v="332"/>
  </r>
  <r>
    <x v="332"/>
  </r>
  <r>
    <x v="332"/>
  </r>
  <r>
    <x v="333"/>
  </r>
  <r>
    <x v="333"/>
  </r>
  <r>
    <x v="333"/>
  </r>
  <r>
    <x v="333"/>
  </r>
  <r>
    <x v="334"/>
  </r>
  <r>
    <x v="334"/>
  </r>
  <r>
    <x v="334"/>
  </r>
  <r>
    <x v="334"/>
  </r>
  <r>
    <x v="335"/>
  </r>
  <r>
    <x v="335"/>
  </r>
  <r>
    <x v="335"/>
  </r>
  <r>
    <x v="335"/>
  </r>
  <r>
    <x v="336"/>
  </r>
  <r>
    <x v="336"/>
  </r>
  <r>
    <x v="336"/>
  </r>
  <r>
    <x v="336"/>
  </r>
  <r>
    <x v="337"/>
  </r>
  <r>
    <x v="337"/>
  </r>
  <r>
    <x v="337"/>
  </r>
  <r>
    <x v="337"/>
  </r>
  <r>
    <x v="338"/>
  </r>
  <r>
    <x v="338"/>
  </r>
  <r>
    <x v="338"/>
  </r>
  <r>
    <x v="338"/>
  </r>
  <r>
    <x v="339"/>
  </r>
  <r>
    <x v="339"/>
  </r>
  <r>
    <x v="339"/>
  </r>
  <r>
    <x v="339"/>
  </r>
  <r>
    <x v="340"/>
  </r>
  <r>
    <x v="340"/>
  </r>
  <r>
    <x v="340"/>
  </r>
  <r>
    <x v="340"/>
  </r>
  <r>
    <x v="341"/>
  </r>
  <r>
    <x v="341"/>
  </r>
  <r>
    <x v="341"/>
  </r>
  <r>
    <x v="341"/>
  </r>
  <r>
    <x v="342"/>
  </r>
  <r>
    <x v="342"/>
  </r>
  <r>
    <x v="342"/>
  </r>
  <r>
    <x v="342"/>
  </r>
  <r>
    <x v="343"/>
  </r>
  <r>
    <x v="343"/>
  </r>
  <r>
    <x v="343"/>
  </r>
  <r>
    <x v="343"/>
  </r>
  <r>
    <x v="344"/>
  </r>
  <r>
    <x v="344"/>
  </r>
  <r>
    <x v="344"/>
  </r>
  <r>
    <x v="344"/>
  </r>
  <r>
    <x v="345"/>
  </r>
  <r>
    <x v="345"/>
  </r>
  <r>
    <x v="345"/>
  </r>
  <r>
    <x v="345"/>
  </r>
  <r>
    <x v="346"/>
  </r>
  <r>
    <x v="346"/>
  </r>
  <r>
    <x v="346"/>
  </r>
  <r>
    <x v="346"/>
  </r>
  <r>
    <x v="347"/>
  </r>
  <r>
    <x v="347"/>
  </r>
  <r>
    <x v="347"/>
  </r>
  <r>
    <x v="347"/>
  </r>
  <r>
    <x v="348"/>
  </r>
  <r>
    <x v="348"/>
  </r>
  <r>
    <x v="348"/>
  </r>
  <r>
    <x v="348"/>
  </r>
  <r>
    <x v="349"/>
  </r>
  <r>
    <x v="349"/>
  </r>
  <r>
    <x v="349"/>
  </r>
  <r>
    <x v="349"/>
  </r>
  <r>
    <x v="350"/>
  </r>
  <r>
    <x v="350"/>
  </r>
  <r>
    <x v="350"/>
  </r>
  <r>
    <x v="350"/>
  </r>
  <r>
    <x v="351"/>
  </r>
  <r>
    <x v="351"/>
  </r>
  <r>
    <x v="351"/>
  </r>
  <r>
    <x v="351"/>
  </r>
  <r>
    <x v="352"/>
  </r>
  <r>
    <x v="352"/>
  </r>
  <r>
    <x v="352"/>
  </r>
  <r>
    <x v="352"/>
  </r>
  <r>
    <x v="353"/>
  </r>
  <r>
    <x v="353"/>
  </r>
  <r>
    <x v="353"/>
  </r>
  <r>
    <x v="353"/>
  </r>
  <r>
    <x v="354"/>
  </r>
  <r>
    <x v="354"/>
  </r>
  <r>
    <x v="354"/>
  </r>
  <r>
    <x v="354"/>
  </r>
  <r>
    <x v="355"/>
  </r>
  <r>
    <x v="355"/>
  </r>
  <r>
    <x v="355"/>
  </r>
  <r>
    <x v="355"/>
  </r>
  <r>
    <x v="356"/>
  </r>
  <r>
    <x v="356"/>
  </r>
  <r>
    <x v="356"/>
  </r>
  <r>
    <x v="356"/>
  </r>
  <r>
    <x v="357"/>
  </r>
  <r>
    <x v="357"/>
  </r>
  <r>
    <x v="357"/>
  </r>
  <r>
    <x v="357"/>
  </r>
  <r>
    <x v="358"/>
  </r>
  <r>
    <x v="358"/>
  </r>
  <r>
    <x v="358"/>
  </r>
  <r>
    <x v="358"/>
  </r>
  <r>
    <x v="359"/>
  </r>
  <r>
    <x v="359"/>
  </r>
  <r>
    <x v="359"/>
  </r>
  <r>
    <x v="359"/>
  </r>
  <r>
    <x v="360"/>
  </r>
  <r>
    <x v="360"/>
  </r>
  <r>
    <x v="360"/>
  </r>
  <r>
    <x v="360"/>
  </r>
  <r>
    <x v="361"/>
  </r>
  <r>
    <x v="361"/>
  </r>
  <r>
    <x v="361"/>
  </r>
  <r>
    <x v="361"/>
  </r>
  <r>
    <x v="362"/>
  </r>
  <r>
    <x v="362"/>
  </r>
  <r>
    <x v="362"/>
  </r>
  <r>
    <x v="362"/>
  </r>
  <r>
    <x v="363"/>
  </r>
  <r>
    <x v="363"/>
  </r>
  <r>
    <x v="363"/>
  </r>
  <r>
    <x v="363"/>
  </r>
  <r>
    <x v="364"/>
  </r>
  <r>
    <x v="364"/>
  </r>
  <r>
    <x v="364"/>
  </r>
  <r>
    <x v="364"/>
  </r>
  <r>
    <x v="365"/>
  </r>
  <r>
    <x v="365"/>
  </r>
  <r>
    <x v="365"/>
  </r>
  <r>
    <x v="365"/>
  </r>
  <r>
    <x v="366"/>
  </r>
  <r>
    <x v="366"/>
  </r>
  <r>
    <x v="366"/>
  </r>
  <r>
    <x v="366"/>
  </r>
  <r>
    <x v="367"/>
  </r>
  <r>
    <x v="367"/>
  </r>
  <r>
    <x v="367"/>
  </r>
  <r>
    <x v="367"/>
  </r>
  <r>
    <x v="368"/>
  </r>
  <r>
    <x v="368"/>
  </r>
  <r>
    <x v="368"/>
  </r>
  <r>
    <x v="368"/>
  </r>
  <r>
    <x v="369"/>
  </r>
  <r>
    <x v="369"/>
  </r>
  <r>
    <x v="369"/>
  </r>
  <r>
    <x v="369"/>
  </r>
  <r>
    <x v="370"/>
  </r>
  <r>
    <x v="370"/>
  </r>
  <r>
    <x v="370"/>
  </r>
  <r>
    <x v="370"/>
  </r>
  <r>
    <x v="371"/>
  </r>
  <r>
    <x v="371"/>
  </r>
  <r>
    <x v="371"/>
  </r>
  <r>
    <x v="371"/>
  </r>
  <r>
    <x v="372"/>
  </r>
  <r>
    <x v="372"/>
  </r>
  <r>
    <x v="372"/>
  </r>
  <r>
    <x v="372"/>
  </r>
  <r>
    <x v="373"/>
  </r>
  <r>
    <x v="373"/>
  </r>
  <r>
    <x v="373"/>
  </r>
  <r>
    <x v="373"/>
  </r>
  <r>
    <x v="374"/>
  </r>
  <r>
    <x v="374"/>
  </r>
  <r>
    <x v="374"/>
  </r>
  <r>
    <x v="374"/>
  </r>
  <r>
    <x v="375"/>
  </r>
  <r>
    <x v="375"/>
  </r>
  <r>
    <x v="375"/>
  </r>
  <r>
    <x v="375"/>
  </r>
  <r>
    <x v="376"/>
  </r>
  <r>
    <x v="376"/>
  </r>
  <r>
    <x v="376"/>
  </r>
  <r>
    <x v="376"/>
  </r>
  <r>
    <x v="377"/>
  </r>
  <r>
    <x v="377"/>
  </r>
  <r>
    <x v="377"/>
  </r>
  <r>
    <x v="377"/>
  </r>
  <r>
    <x v="378"/>
  </r>
  <r>
    <x v="378"/>
  </r>
  <r>
    <x v="378"/>
  </r>
  <r>
    <x v="378"/>
  </r>
  <r>
    <x v="379"/>
  </r>
  <r>
    <x v="379"/>
  </r>
  <r>
    <x v="379"/>
  </r>
  <r>
    <x v="379"/>
  </r>
  <r>
    <x v="380"/>
  </r>
  <r>
    <x v="380"/>
  </r>
  <r>
    <x v="380"/>
  </r>
  <r>
    <x v="380"/>
  </r>
  <r>
    <x v="381"/>
  </r>
  <r>
    <x v="381"/>
  </r>
  <r>
    <x v="381"/>
  </r>
  <r>
    <x v="381"/>
  </r>
  <r>
    <x v="382"/>
  </r>
  <r>
    <x v="382"/>
  </r>
  <r>
    <x v="382"/>
  </r>
  <r>
    <x v="382"/>
  </r>
  <r>
    <x v="383"/>
  </r>
  <r>
    <x v="383"/>
  </r>
  <r>
    <x v="383"/>
  </r>
  <r>
    <x v="383"/>
  </r>
  <r>
    <x v="384"/>
  </r>
  <r>
    <x v="384"/>
  </r>
  <r>
    <x v="384"/>
  </r>
  <r>
    <x v="384"/>
  </r>
  <r>
    <x v="385"/>
  </r>
  <r>
    <x v="385"/>
  </r>
  <r>
    <x v="385"/>
  </r>
  <r>
    <x v="385"/>
  </r>
  <r>
    <x v="386"/>
  </r>
  <r>
    <x v="386"/>
  </r>
  <r>
    <x v="386"/>
  </r>
  <r>
    <x v="386"/>
  </r>
  <r>
    <x v="387"/>
  </r>
  <r>
    <x v="387"/>
  </r>
  <r>
    <x v="387"/>
  </r>
  <r>
    <x v="387"/>
  </r>
  <r>
    <x v="388"/>
  </r>
  <r>
    <x v="388"/>
  </r>
  <r>
    <x v="388"/>
  </r>
  <r>
    <x v="388"/>
  </r>
  <r>
    <x v="389"/>
  </r>
  <r>
    <x v="389"/>
  </r>
  <r>
    <x v="389"/>
  </r>
  <r>
    <x v="389"/>
  </r>
  <r>
    <x v="390"/>
  </r>
  <r>
    <x v="390"/>
  </r>
  <r>
    <x v="390"/>
  </r>
  <r>
    <x v="390"/>
  </r>
  <r>
    <x v="391"/>
  </r>
  <r>
    <x v="391"/>
  </r>
  <r>
    <x v="391"/>
  </r>
  <r>
    <x v="391"/>
  </r>
  <r>
    <x v="392"/>
  </r>
  <r>
    <x v="392"/>
  </r>
  <r>
    <x v="392"/>
  </r>
  <r>
    <x v="392"/>
  </r>
  <r>
    <x v="393"/>
  </r>
  <r>
    <x v="393"/>
  </r>
  <r>
    <x v="393"/>
  </r>
  <r>
    <x v="393"/>
  </r>
  <r>
    <x v="394"/>
  </r>
  <r>
    <x v="394"/>
  </r>
  <r>
    <x v="394"/>
  </r>
  <r>
    <x v="394"/>
  </r>
  <r>
    <x v="395"/>
  </r>
  <r>
    <x v="395"/>
  </r>
  <r>
    <x v="395"/>
  </r>
  <r>
    <x v="395"/>
  </r>
  <r>
    <x v="396"/>
  </r>
  <r>
    <x v="396"/>
  </r>
  <r>
    <x v="396"/>
  </r>
  <r>
    <x v="396"/>
  </r>
  <r>
    <x v="397"/>
  </r>
  <r>
    <x v="397"/>
  </r>
  <r>
    <x v="397"/>
  </r>
  <r>
    <x v="397"/>
  </r>
  <r>
    <x v="398"/>
  </r>
  <r>
    <x v="398"/>
  </r>
  <r>
    <x v="398"/>
  </r>
  <r>
    <x v="398"/>
  </r>
  <r>
    <x v="399"/>
  </r>
  <r>
    <x v="399"/>
  </r>
  <r>
    <x v="399"/>
  </r>
  <r>
    <x v="399"/>
  </r>
  <r>
    <x v="400"/>
  </r>
  <r>
    <x v="400"/>
  </r>
  <r>
    <x v="400"/>
  </r>
  <r>
    <x v="400"/>
  </r>
  <r>
    <x v="401"/>
  </r>
  <r>
    <x v="401"/>
  </r>
  <r>
    <x v="401"/>
  </r>
  <r>
    <x v="401"/>
  </r>
  <r>
    <x v="402"/>
  </r>
  <r>
    <x v="402"/>
  </r>
  <r>
    <x v="402"/>
  </r>
  <r>
    <x v="402"/>
  </r>
  <r>
    <x v="403"/>
  </r>
  <r>
    <x v="403"/>
  </r>
  <r>
    <x v="403"/>
  </r>
  <r>
    <x v="403"/>
  </r>
  <r>
    <x v="404"/>
  </r>
  <r>
    <x v="404"/>
  </r>
  <r>
    <x v="404"/>
  </r>
  <r>
    <x v="404"/>
  </r>
  <r>
    <x v="405"/>
  </r>
  <r>
    <x v="405"/>
  </r>
  <r>
    <x v="405"/>
  </r>
  <r>
    <x v="405"/>
  </r>
  <r>
    <x v="406"/>
  </r>
  <r>
    <x v="406"/>
  </r>
  <r>
    <x v="406"/>
  </r>
  <r>
    <x v="406"/>
  </r>
  <r>
    <x v="407"/>
  </r>
  <r>
    <x v="407"/>
  </r>
  <r>
    <x v="407"/>
  </r>
  <r>
    <x v="407"/>
  </r>
  <r>
    <x v="408"/>
  </r>
  <r>
    <x v="408"/>
  </r>
  <r>
    <x v="408"/>
  </r>
  <r>
    <x v="408"/>
  </r>
  <r>
    <x v="409"/>
  </r>
  <r>
    <x v="409"/>
  </r>
  <r>
    <x v="409"/>
  </r>
  <r>
    <x v="409"/>
  </r>
  <r>
    <x v="410"/>
  </r>
  <r>
    <x v="410"/>
  </r>
  <r>
    <x v="410"/>
  </r>
  <r>
    <x v="410"/>
  </r>
  <r>
    <x v="411"/>
  </r>
  <r>
    <x v="411"/>
  </r>
  <r>
    <x v="411"/>
  </r>
  <r>
    <x v="411"/>
  </r>
  <r>
    <x v="412"/>
  </r>
  <r>
    <x v="412"/>
  </r>
  <r>
    <x v="412"/>
  </r>
  <r>
    <x v="413"/>
  </r>
  <r>
    <x v="413"/>
  </r>
  <r>
    <x v="413"/>
  </r>
  <r>
    <x v="413"/>
  </r>
  <r>
    <x v="414"/>
  </r>
  <r>
    <x v="414"/>
  </r>
  <r>
    <x v="414"/>
  </r>
  <r>
    <x v="414"/>
  </r>
  <r>
    <x v="415"/>
  </r>
  <r>
    <x v="415"/>
  </r>
  <r>
    <x v="415"/>
  </r>
  <r>
    <x v="415"/>
  </r>
  <r>
    <x v="416"/>
  </r>
  <r>
    <x v="416"/>
  </r>
  <r>
    <x v="416"/>
  </r>
  <r>
    <x v="416"/>
  </r>
  <r>
    <x v="417"/>
  </r>
  <r>
    <x v="417"/>
  </r>
  <r>
    <x v="417"/>
  </r>
  <r>
    <x v="417"/>
  </r>
  <r>
    <x v="418"/>
  </r>
  <r>
    <x v="418"/>
  </r>
  <r>
    <x v="418"/>
  </r>
  <r>
    <x v="418"/>
  </r>
  <r>
    <x v="419"/>
  </r>
  <r>
    <x v="419"/>
  </r>
  <r>
    <x v="419"/>
  </r>
  <r>
    <x v="419"/>
  </r>
  <r>
    <x v="420"/>
  </r>
  <r>
    <x v="420"/>
  </r>
  <r>
    <x v="420"/>
  </r>
  <r>
    <x v="420"/>
  </r>
  <r>
    <x v="421"/>
  </r>
  <r>
    <x v="421"/>
  </r>
  <r>
    <x v="421"/>
  </r>
  <r>
    <x v="421"/>
  </r>
  <r>
    <x v="422"/>
  </r>
  <r>
    <x v="422"/>
  </r>
  <r>
    <x v="422"/>
  </r>
  <r>
    <x v="422"/>
  </r>
  <r>
    <x v="423"/>
  </r>
  <r>
    <x v="423"/>
  </r>
  <r>
    <x v="423"/>
  </r>
  <r>
    <x v="423"/>
  </r>
  <r>
    <x v="424"/>
  </r>
  <r>
    <x v="424"/>
  </r>
  <r>
    <x v="424"/>
  </r>
  <r>
    <x v="424"/>
  </r>
  <r>
    <x v="425"/>
  </r>
  <r>
    <x v="425"/>
  </r>
  <r>
    <x v="425"/>
  </r>
  <r>
    <x v="425"/>
  </r>
  <r>
    <x v="426"/>
  </r>
  <r>
    <x v="426"/>
  </r>
  <r>
    <x v="426"/>
  </r>
  <r>
    <x v="426"/>
  </r>
  <r>
    <x v="427"/>
  </r>
  <r>
    <x v="427"/>
  </r>
  <r>
    <x v="427"/>
  </r>
  <r>
    <x v="427"/>
  </r>
  <r>
    <x v="428"/>
  </r>
  <r>
    <x v="428"/>
  </r>
  <r>
    <x v="428"/>
  </r>
  <r>
    <x v="428"/>
  </r>
  <r>
    <x v="429"/>
  </r>
  <r>
    <x v="429"/>
  </r>
  <r>
    <x v="429"/>
  </r>
  <r>
    <x v="429"/>
  </r>
  <r>
    <x v="4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02322-46D2-C54B-924C-78C97027F621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35" firstHeaderRow="1" firstDataRow="1" firstDataCol="1"/>
  <pivotFields count="1">
    <pivotField axis="axisRow" showAll="0">
      <items count="432">
        <item x="266"/>
        <item x="249"/>
        <item x="2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</pivotFields>
  <rowFields count="1">
    <field x="0"/>
  </rowFields>
  <rowItems count="4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AAFA-CBD7-1444-A0FE-3D3B62FAA0CF}">
  <dimension ref="A1:M1711"/>
  <sheetViews>
    <sheetView workbookViewId="0">
      <selection activeCell="G9" sqref="G9"/>
    </sheetView>
  </sheetViews>
  <sheetFormatPr baseColWidth="10" defaultRowHeight="16" x14ac:dyDescent="0.2"/>
  <cols>
    <col min="4" max="4" width="13.33203125" customWidth="1"/>
    <col min="5" max="5" width="26.5" customWidth="1"/>
    <col min="6" max="6" width="17.5" customWidth="1"/>
    <col min="7" max="7" width="26.33203125" customWidth="1"/>
    <col min="8" max="8" width="29.5" customWidth="1"/>
    <col min="9" max="9" width="28.5" customWidth="1"/>
    <col min="10" max="10" width="21.1640625" customWidth="1"/>
    <col min="11" max="11" width="36.83203125" customWidth="1"/>
    <col min="12" max="12" width="14.83203125" customWidth="1"/>
    <col min="13" max="13" width="15.33203125" customWidth="1"/>
  </cols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602</v>
      </c>
      <c r="M1" t="s">
        <v>603</v>
      </c>
    </row>
    <row r="2" spans="1:13" x14ac:dyDescent="0.2">
      <c r="A2">
        <v>0</v>
      </c>
      <c r="B2" t="s">
        <v>10</v>
      </c>
      <c r="C2" t="s">
        <v>11</v>
      </c>
      <c r="D2" s="1">
        <v>41274</v>
      </c>
      <c r="E2" s="2">
        <v>24855000000</v>
      </c>
      <c r="F2" s="2">
        <v>10499000000</v>
      </c>
      <c r="G2" s="2">
        <v>12977000000</v>
      </c>
      <c r="H2" t="s">
        <v>12</v>
      </c>
      <c r="I2" s="2">
        <v>845000000</v>
      </c>
      <c r="J2" t="s">
        <v>13</v>
      </c>
      <c r="K2" t="s">
        <v>14</v>
      </c>
      <c r="L2">
        <f>1-F2/E2</f>
        <v>0.57759002212834432</v>
      </c>
    </row>
    <row r="3" spans="1:13" x14ac:dyDescent="0.2">
      <c r="A3">
        <v>1</v>
      </c>
      <c r="B3" t="s">
        <v>10</v>
      </c>
      <c r="C3" t="s">
        <v>15</v>
      </c>
      <c r="D3" s="1">
        <v>41639</v>
      </c>
      <c r="E3" s="2">
        <v>26743000000</v>
      </c>
      <c r="F3" s="2">
        <v>11019000000</v>
      </c>
      <c r="G3" s="2">
        <v>12913000000</v>
      </c>
      <c r="H3" t="s">
        <v>12</v>
      </c>
      <c r="I3" s="2">
        <v>853000000</v>
      </c>
      <c r="J3" t="s">
        <v>13</v>
      </c>
      <c r="K3" t="s">
        <v>14</v>
      </c>
      <c r="L3">
        <f t="shared" ref="L3:L66" si="0">1-F3/E3</f>
        <v>0.58796694462102228</v>
      </c>
    </row>
    <row r="4" spans="1:13" x14ac:dyDescent="0.2">
      <c r="A4">
        <v>2</v>
      </c>
      <c r="B4" t="s">
        <v>10</v>
      </c>
      <c r="C4" t="s">
        <v>16</v>
      </c>
      <c r="D4" s="1">
        <v>42004</v>
      </c>
      <c r="E4" s="2">
        <v>42650000000</v>
      </c>
      <c r="F4" s="2">
        <v>15620000000</v>
      </c>
      <c r="G4" s="2">
        <v>20686000000</v>
      </c>
      <c r="H4" t="s">
        <v>12</v>
      </c>
      <c r="I4" s="2">
        <v>1295000000</v>
      </c>
      <c r="J4" t="s">
        <v>13</v>
      </c>
      <c r="K4" t="s">
        <v>14</v>
      </c>
      <c r="L4">
        <f t="shared" si="0"/>
        <v>0.63376318874560378</v>
      </c>
    </row>
    <row r="5" spans="1:13" x14ac:dyDescent="0.2">
      <c r="A5">
        <v>3</v>
      </c>
      <c r="B5" t="s">
        <v>10</v>
      </c>
      <c r="C5" t="s">
        <v>17</v>
      </c>
      <c r="D5" s="1">
        <v>42369</v>
      </c>
      <c r="E5" s="2">
        <v>40990000000</v>
      </c>
      <c r="F5" s="2">
        <v>11096000000</v>
      </c>
      <c r="G5" s="2">
        <v>21275000000</v>
      </c>
      <c r="H5" t="s">
        <v>12</v>
      </c>
      <c r="I5" s="2">
        <v>1364000000</v>
      </c>
      <c r="J5" t="s">
        <v>13</v>
      </c>
      <c r="K5" t="s">
        <v>14</v>
      </c>
      <c r="L5">
        <f t="shared" si="0"/>
        <v>0.72929982922664061</v>
      </c>
    </row>
    <row r="6" spans="1:13" x14ac:dyDescent="0.2">
      <c r="A6">
        <v>4</v>
      </c>
      <c r="B6" t="s">
        <v>18</v>
      </c>
      <c r="C6" t="s">
        <v>11</v>
      </c>
      <c r="D6" s="1">
        <v>41272</v>
      </c>
      <c r="E6" s="2">
        <v>6205003000</v>
      </c>
      <c r="F6" s="2">
        <v>3106967000</v>
      </c>
      <c r="G6" s="2">
        <v>2440721000</v>
      </c>
      <c r="H6" t="s">
        <v>12</v>
      </c>
      <c r="I6" t="s">
        <v>12</v>
      </c>
      <c r="J6" t="s">
        <v>19</v>
      </c>
      <c r="K6" t="s">
        <v>20</v>
      </c>
      <c r="L6">
        <f t="shared" si="0"/>
        <v>0.49928033878468714</v>
      </c>
    </row>
    <row r="7" spans="1:13" x14ac:dyDescent="0.2">
      <c r="A7">
        <v>5</v>
      </c>
      <c r="B7" t="s">
        <v>18</v>
      </c>
      <c r="C7" t="s">
        <v>15</v>
      </c>
      <c r="D7" s="1">
        <v>41636</v>
      </c>
      <c r="E7" s="2">
        <v>6493814000</v>
      </c>
      <c r="F7" s="2">
        <v>3241668000</v>
      </c>
      <c r="G7" s="2">
        <v>2591828000</v>
      </c>
      <c r="H7" t="s">
        <v>12</v>
      </c>
      <c r="I7" t="s">
        <v>12</v>
      </c>
      <c r="J7" t="s">
        <v>19</v>
      </c>
      <c r="K7" t="s">
        <v>20</v>
      </c>
      <c r="L7">
        <f t="shared" si="0"/>
        <v>0.50080676779470434</v>
      </c>
    </row>
    <row r="8" spans="1:13" x14ac:dyDescent="0.2">
      <c r="A8">
        <v>6</v>
      </c>
      <c r="B8" t="s">
        <v>18</v>
      </c>
      <c r="C8" t="s">
        <v>16</v>
      </c>
      <c r="D8" s="1">
        <v>42007</v>
      </c>
      <c r="E8" s="2">
        <v>9843861000</v>
      </c>
      <c r="F8" s="2">
        <v>5390248000</v>
      </c>
      <c r="G8" s="2">
        <v>3601903000</v>
      </c>
      <c r="H8" t="s">
        <v>12</v>
      </c>
      <c r="I8" t="s">
        <v>12</v>
      </c>
      <c r="J8" t="s">
        <v>19</v>
      </c>
      <c r="K8" t="s">
        <v>20</v>
      </c>
      <c r="L8">
        <f t="shared" si="0"/>
        <v>0.45242542534885444</v>
      </c>
    </row>
    <row r="9" spans="1:13" x14ac:dyDescent="0.2">
      <c r="A9">
        <v>7</v>
      </c>
      <c r="B9" t="s">
        <v>18</v>
      </c>
      <c r="C9" t="s">
        <v>17</v>
      </c>
      <c r="D9" s="1">
        <v>42371</v>
      </c>
      <c r="E9" s="2">
        <v>9737018000</v>
      </c>
      <c r="F9" s="2">
        <v>5314246000</v>
      </c>
      <c r="G9" s="2">
        <v>3596992000</v>
      </c>
      <c r="H9" t="s">
        <v>12</v>
      </c>
      <c r="I9" t="s">
        <v>12</v>
      </c>
      <c r="J9" t="s">
        <v>19</v>
      </c>
      <c r="K9" t="s">
        <v>20</v>
      </c>
      <c r="L9">
        <f t="shared" si="0"/>
        <v>0.45422243237097848</v>
      </c>
    </row>
    <row r="10" spans="1:13" x14ac:dyDescent="0.2">
      <c r="A10">
        <v>8</v>
      </c>
      <c r="B10" t="s">
        <v>21</v>
      </c>
      <c r="C10" t="s">
        <v>11</v>
      </c>
      <c r="D10" s="1">
        <v>41545</v>
      </c>
      <c r="E10" s="2">
        <v>170910000000</v>
      </c>
      <c r="F10" s="2">
        <v>106606000000</v>
      </c>
      <c r="G10" s="2">
        <v>10830000000</v>
      </c>
      <c r="H10" s="2">
        <v>4475000000</v>
      </c>
      <c r="I10" t="s">
        <v>12</v>
      </c>
      <c r="J10" t="s">
        <v>22</v>
      </c>
      <c r="K10" t="s">
        <v>23</v>
      </c>
      <c r="L10">
        <f t="shared" si="0"/>
        <v>0.37624480720847231</v>
      </c>
    </row>
    <row r="11" spans="1:13" x14ac:dyDescent="0.2">
      <c r="A11">
        <v>9</v>
      </c>
      <c r="B11" t="s">
        <v>21</v>
      </c>
      <c r="C11" t="s">
        <v>15</v>
      </c>
      <c r="D11" s="1">
        <v>41909</v>
      </c>
      <c r="E11" s="2">
        <v>182795000000</v>
      </c>
      <c r="F11" s="2">
        <v>112258000000</v>
      </c>
      <c r="G11" s="2">
        <v>11993000000</v>
      </c>
      <c r="H11" s="2">
        <v>6041000000</v>
      </c>
      <c r="I11" t="s">
        <v>12</v>
      </c>
      <c r="J11" t="s">
        <v>22</v>
      </c>
      <c r="K11" t="s">
        <v>23</v>
      </c>
      <c r="L11">
        <f t="shared" si="0"/>
        <v>0.38588035777783858</v>
      </c>
    </row>
    <row r="12" spans="1:13" x14ac:dyDescent="0.2">
      <c r="A12">
        <v>10</v>
      </c>
      <c r="B12" t="s">
        <v>21</v>
      </c>
      <c r="C12" t="s">
        <v>16</v>
      </c>
      <c r="D12" s="1">
        <v>42273</v>
      </c>
      <c r="E12" s="2">
        <v>233715000000</v>
      </c>
      <c r="F12" s="2">
        <v>140089000000</v>
      </c>
      <c r="G12" s="2">
        <v>14329000000</v>
      </c>
      <c r="H12" s="2">
        <v>8067000000</v>
      </c>
      <c r="I12" t="s">
        <v>12</v>
      </c>
      <c r="J12" t="s">
        <v>22</v>
      </c>
      <c r="K12" t="s">
        <v>23</v>
      </c>
      <c r="L12">
        <f t="shared" si="0"/>
        <v>0.40059902017414373</v>
      </c>
    </row>
    <row r="13" spans="1:13" x14ac:dyDescent="0.2">
      <c r="A13">
        <v>11</v>
      </c>
      <c r="B13" t="s">
        <v>21</v>
      </c>
      <c r="C13" t="s">
        <v>17</v>
      </c>
      <c r="D13" s="1">
        <v>42637</v>
      </c>
      <c r="E13" s="2">
        <v>215639000000</v>
      </c>
      <c r="F13" s="2">
        <v>131376000000</v>
      </c>
      <c r="G13" s="2">
        <v>14194000000</v>
      </c>
      <c r="H13" s="2">
        <v>10045000000</v>
      </c>
      <c r="I13" t="s">
        <v>12</v>
      </c>
      <c r="J13" t="s">
        <v>22</v>
      </c>
      <c r="K13" t="s">
        <v>23</v>
      </c>
      <c r="L13">
        <f t="shared" si="0"/>
        <v>0.39075955648097049</v>
      </c>
    </row>
    <row r="14" spans="1:13" x14ac:dyDescent="0.2">
      <c r="A14">
        <v>12</v>
      </c>
      <c r="B14" t="s">
        <v>24</v>
      </c>
      <c r="C14" t="s">
        <v>11</v>
      </c>
      <c r="D14" s="1">
        <v>41274</v>
      </c>
      <c r="E14" s="2">
        <v>18380000000</v>
      </c>
      <c r="F14" s="2">
        <v>4508000000</v>
      </c>
      <c r="G14" s="2">
        <v>4989000000</v>
      </c>
      <c r="H14" s="2">
        <v>2778000000</v>
      </c>
      <c r="I14" t="s">
        <v>12</v>
      </c>
      <c r="J14" t="s">
        <v>25</v>
      </c>
      <c r="K14" t="s">
        <v>26</v>
      </c>
      <c r="L14">
        <f t="shared" si="0"/>
        <v>0.75473340587595206</v>
      </c>
    </row>
    <row r="15" spans="1:13" x14ac:dyDescent="0.2">
      <c r="A15">
        <v>13</v>
      </c>
      <c r="B15" t="s">
        <v>24</v>
      </c>
      <c r="C15" t="s">
        <v>15</v>
      </c>
      <c r="D15" s="1">
        <v>41639</v>
      </c>
      <c r="E15" s="2">
        <v>18790000000</v>
      </c>
      <c r="F15" s="2">
        <v>4581000000</v>
      </c>
      <c r="G15" s="2">
        <v>5352000000</v>
      </c>
      <c r="H15" s="2">
        <v>2855000000</v>
      </c>
      <c r="I15" t="s">
        <v>12</v>
      </c>
      <c r="J15" t="s">
        <v>25</v>
      </c>
      <c r="K15" t="s">
        <v>26</v>
      </c>
      <c r="L15">
        <f t="shared" si="0"/>
        <v>0.75620010643959557</v>
      </c>
    </row>
    <row r="16" spans="1:13" x14ac:dyDescent="0.2">
      <c r="A16">
        <v>14</v>
      </c>
      <c r="B16" t="s">
        <v>24</v>
      </c>
      <c r="C16" t="s">
        <v>16</v>
      </c>
      <c r="D16" s="1">
        <v>42004</v>
      </c>
      <c r="E16" s="2">
        <v>19960000000</v>
      </c>
      <c r="F16" s="2">
        <v>4426000000</v>
      </c>
      <c r="G16" s="2">
        <v>8474000000</v>
      </c>
      <c r="H16" s="2">
        <v>3297000000</v>
      </c>
      <c r="I16" t="s">
        <v>12</v>
      </c>
      <c r="J16" t="s">
        <v>25</v>
      </c>
      <c r="K16" t="s">
        <v>26</v>
      </c>
      <c r="L16">
        <f t="shared" si="0"/>
        <v>0.77825651302605214</v>
      </c>
    </row>
    <row r="17" spans="1:12" x14ac:dyDescent="0.2">
      <c r="A17">
        <v>15</v>
      </c>
      <c r="B17" t="s">
        <v>24</v>
      </c>
      <c r="C17" t="s">
        <v>17</v>
      </c>
      <c r="D17" s="1">
        <v>42369</v>
      </c>
      <c r="E17" s="2">
        <v>22859000000</v>
      </c>
      <c r="F17" s="2">
        <v>4500000000</v>
      </c>
      <c r="G17" s="2">
        <v>6387000000</v>
      </c>
      <c r="H17" s="2">
        <v>4285000000</v>
      </c>
      <c r="I17" t="s">
        <v>12</v>
      </c>
      <c r="J17" t="s">
        <v>25</v>
      </c>
      <c r="K17" t="s">
        <v>26</v>
      </c>
      <c r="L17">
        <f t="shared" si="0"/>
        <v>0.803140994794173</v>
      </c>
    </row>
    <row r="18" spans="1:12" x14ac:dyDescent="0.2">
      <c r="A18">
        <v>16</v>
      </c>
      <c r="B18" t="s">
        <v>27</v>
      </c>
      <c r="C18" t="s">
        <v>11</v>
      </c>
      <c r="D18" s="1">
        <v>41547</v>
      </c>
      <c r="E18" s="2">
        <v>87959167000</v>
      </c>
      <c r="F18" s="2">
        <v>85451348000</v>
      </c>
      <c r="G18" s="2">
        <v>1447234000</v>
      </c>
      <c r="H18" t="s">
        <v>12</v>
      </c>
      <c r="I18" s="2">
        <v>162186000</v>
      </c>
      <c r="J18" t="s">
        <v>25</v>
      </c>
      <c r="K18" t="s">
        <v>28</v>
      </c>
      <c r="L18">
        <f t="shared" si="0"/>
        <v>2.8511172689936859E-2</v>
      </c>
    </row>
    <row r="19" spans="1:12" x14ac:dyDescent="0.2">
      <c r="A19">
        <v>17</v>
      </c>
      <c r="B19" t="s">
        <v>27</v>
      </c>
      <c r="C19" t="s">
        <v>15</v>
      </c>
      <c r="D19" s="1">
        <v>41912</v>
      </c>
      <c r="E19" s="2">
        <v>119569127000</v>
      </c>
      <c r="F19" s="2">
        <v>116586761000</v>
      </c>
      <c r="G19" s="2">
        <v>2011595000</v>
      </c>
      <c r="H19" t="s">
        <v>12</v>
      </c>
      <c r="I19" s="2">
        <v>188680000</v>
      </c>
      <c r="J19" t="s">
        <v>25</v>
      </c>
      <c r="K19" t="s">
        <v>28</v>
      </c>
      <c r="L19">
        <f t="shared" si="0"/>
        <v>2.4942609140234051E-2</v>
      </c>
    </row>
    <row r="20" spans="1:12" x14ac:dyDescent="0.2">
      <c r="A20">
        <v>18</v>
      </c>
      <c r="B20" t="s">
        <v>27</v>
      </c>
      <c r="C20" t="s">
        <v>16</v>
      </c>
      <c r="D20" s="1">
        <v>42277</v>
      </c>
      <c r="E20" s="2">
        <v>135961803000</v>
      </c>
      <c r="F20" s="2">
        <v>132432490000</v>
      </c>
      <c r="G20" s="2">
        <v>2858458000</v>
      </c>
      <c r="H20" t="s">
        <v>12</v>
      </c>
      <c r="I20" s="2">
        <v>248635000</v>
      </c>
      <c r="J20" t="s">
        <v>25</v>
      </c>
      <c r="K20" t="s">
        <v>28</v>
      </c>
      <c r="L20">
        <f t="shared" si="0"/>
        <v>2.5958121487988817E-2</v>
      </c>
    </row>
    <row r="21" spans="1:12" x14ac:dyDescent="0.2">
      <c r="A21">
        <v>19</v>
      </c>
      <c r="B21" t="s">
        <v>27</v>
      </c>
      <c r="C21" t="s">
        <v>17</v>
      </c>
      <c r="D21" s="1">
        <v>42643</v>
      </c>
      <c r="E21" s="2">
        <v>146849686000</v>
      </c>
      <c r="F21" s="2">
        <v>142577080000</v>
      </c>
      <c r="G21" s="2">
        <v>2382097000</v>
      </c>
      <c r="H21" t="s">
        <v>12</v>
      </c>
      <c r="I21" s="2">
        <v>364735000</v>
      </c>
      <c r="J21" t="s">
        <v>25</v>
      </c>
      <c r="K21" t="s">
        <v>28</v>
      </c>
      <c r="L21">
        <f t="shared" si="0"/>
        <v>2.9095097962960614E-2</v>
      </c>
    </row>
    <row r="22" spans="1:12" x14ac:dyDescent="0.2">
      <c r="A22">
        <v>20</v>
      </c>
      <c r="B22" t="s">
        <v>29</v>
      </c>
      <c r="C22" t="s">
        <v>11</v>
      </c>
      <c r="D22" s="1">
        <v>41274</v>
      </c>
      <c r="E22" s="2">
        <v>19050000000</v>
      </c>
      <c r="F22" s="2">
        <v>8899000000</v>
      </c>
      <c r="G22" s="2">
        <v>6735000000</v>
      </c>
      <c r="H22" s="2">
        <v>1461000000</v>
      </c>
      <c r="I22" s="2">
        <v>595000000</v>
      </c>
      <c r="J22" t="s">
        <v>25</v>
      </c>
      <c r="K22" t="s">
        <v>30</v>
      </c>
      <c r="L22">
        <f t="shared" si="0"/>
        <v>0.53286089238845147</v>
      </c>
    </row>
    <row r="23" spans="1:12" x14ac:dyDescent="0.2">
      <c r="A23">
        <v>21</v>
      </c>
      <c r="B23" t="s">
        <v>29</v>
      </c>
      <c r="C23" t="s">
        <v>15</v>
      </c>
      <c r="D23" s="1">
        <v>41639</v>
      </c>
      <c r="E23" s="2">
        <v>19657000000</v>
      </c>
      <c r="F23" s="2">
        <v>9193000000</v>
      </c>
      <c r="G23" s="2">
        <v>6372000000</v>
      </c>
      <c r="H23" s="2">
        <v>1371000000</v>
      </c>
      <c r="I23" s="2">
        <v>588000000</v>
      </c>
      <c r="J23" t="s">
        <v>25</v>
      </c>
      <c r="K23" t="s">
        <v>30</v>
      </c>
      <c r="L23">
        <f t="shared" si="0"/>
        <v>0.53232945006867782</v>
      </c>
    </row>
    <row r="24" spans="1:12" x14ac:dyDescent="0.2">
      <c r="A24">
        <v>22</v>
      </c>
      <c r="B24" t="s">
        <v>29</v>
      </c>
      <c r="C24" t="s">
        <v>16</v>
      </c>
      <c r="D24" s="1">
        <v>42004</v>
      </c>
      <c r="E24" s="2">
        <v>20247000000</v>
      </c>
      <c r="F24" s="2">
        <v>9218000000</v>
      </c>
      <c r="G24" s="2">
        <v>6530000000</v>
      </c>
      <c r="H24" s="2">
        <v>1345000000</v>
      </c>
      <c r="I24" s="2">
        <v>555000000</v>
      </c>
      <c r="J24" t="s">
        <v>25</v>
      </c>
      <c r="K24" t="s">
        <v>30</v>
      </c>
      <c r="L24">
        <f t="shared" si="0"/>
        <v>0.54472267496419224</v>
      </c>
    </row>
    <row r="25" spans="1:12" x14ac:dyDescent="0.2">
      <c r="A25">
        <v>23</v>
      </c>
      <c r="B25" t="s">
        <v>29</v>
      </c>
      <c r="C25" t="s">
        <v>17</v>
      </c>
      <c r="D25" s="1">
        <v>42369</v>
      </c>
      <c r="E25" s="2">
        <v>20405000000</v>
      </c>
      <c r="F25" s="2">
        <v>8747000000</v>
      </c>
      <c r="G25" s="2">
        <v>6785000000</v>
      </c>
      <c r="H25" s="2">
        <v>1405000000</v>
      </c>
      <c r="I25" s="2">
        <v>601000000</v>
      </c>
      <c r="J25" t="s">
        <v>25</v>
      </c>
      <c r="K25" t="s">
        <v>30</v>
      </c>
      <c r="L25">
        <f t="shared" si="0"/>
        <v>0.57133055623621654</v>
      </c>
    </row>
    <row r="26" spans="1:12" x14ac:dyDescent="0.2">
      <c r="A26">
        <v>24</v>
      </c>
      <c r="B26" t="s">
        <v>31</v>
      </c>
      <c r="C26" t="s">
        <v>11</v>
      </c>
      <c r="D26" s="1">
        <v>41607</v>
      </c>
      <c r="E26" s="2">
        <v>4055240000</v>
      </c>
      <c r="F26" s="2">
        <v>586557000</v>
      </c>
      <c r="G26" s="2">
        <v>2140578000</v>
      </c>
      <c r="H26" s="2">
        <v>826631000</v>
      </c>
      <c r="I26" s="2">
        <v>52254000</v>
      </c>
      <c r="J26" t="s">
        <v>22</v>
      </c>
      <c r="K26" t="s">
        <v>32</v>
      </c>
      <c r="L26">
        <f t="shared" si="0"/>
        <v>0.85535825253252584</v>
      </c>
    </row>
    <row r="27" spans="1:12" x14ac:dyDescent="0.2">
      <c r="A27">
        <v>25</v>
      </c>
      <c r="B27" t="s">
        <v>31</v>
      </c>
      <c r="C27" t="s">
        <v>15</v>
      </c>
      <c r="D27" s="1">
        <v>41971</v>
      </c>
      <c r="E27" s="2">
        <v>4147065000</v>
      </c>
      <c r="F27" s="2">
        <v>622080000</v>
      </c>
      <c r="G27" s="2">
        <v>2195640000</v>
      </c>
      <c r="H27" s="2">
        <v>844353000</v>
      </c>
      <c r="I27" s="2">
        <v>52424000</v>
      </c>
      <c r="J27" t="s">
        <v>22</v>
      </c>
      <c r="K27" t="s">
        <v>32</v>
      </c>
      <c r="L27">
        <f t="shared" si="0"/>
        <v>0.84999511702854913</v>
      </c>
    </row>
    <row r="28" spans="1:12" x14ac:dyDescent="0.2">
      <c r="A28">
        <v>26</v>
      </c>
      <c r="B28" t="s">
        <v>31</v>
      </c>
      <c r="C28" t="s">
        <v>16</v>
      </c>
      <c r="D28" s="1">
        <v>42335</v>
      </c>
      <c r="E28" s="2">
        <v>4795511000</v>
      </c>
      <c r="F28" s="2">
        <v>744317000</v>
      </c>
      <c r="G28" s="2">
        <v>2215161000</v>
      </c>
      <c r="H28" s="2">
        <v>862730000</v>
      </c>
      <c r="I28" s="2">
        <v>68649000</v>
      </c>
      <c r="J28" t="s">
        <v>22</v>
      </c>
      <c r="K28" t="s">
        <v>32</v>
      </c>
      <c r="L28">
        <f t="shared" si="0"/>
        <v>0.84478880352896701</v>
      </c>
    </row>
    <row r="29" spans="1:12" x14ac:dyDescent="0.2">
      <c r="A29">
        <v>27</v>
      </c>
      <c r="B29" t="s">
        <v>31</v>
      </c>
      <c r="C29" t="s">
        <v>17</v>
      </c>
      <c r="D29" s="1">
        <v>42706</v>
      </c>
      <c r="E29" s="2">
        <v>5854430000</v>
      </c>
      <c r="F29" s="2">
        <v>819908000</v>
      </c>
      <c r="G29" s="2">
        <v>2487907000</v>
      </c>
      <c r="H29" s="2">
        <v>975987000</v>
      </c>
      <c r="I29" s="2">
        <v>78534000</v>
      </c>
      <c r="J29" t="s">
        <v>22</v>
      </c>
      <c r="K29" t="s">
        <v>32</v>
      </c>
      <c r="L29">
        <f t="shared" si="0"/>
        <v>0.8599508406454599</v>
      </c>
    </row>
    <row r="30" spans="1:12" x14ac:dyDescent="0.2">
      <c r="A30">
        <v>28</v>
      </c>
      <c r="B30" t="s">
        <v>33</v>
      </c>
      <c r="C30" t="s">
        <v>11</v>
      </c>
      <c r="D30" s="1">
        <v>41580</v>
      </c>
      <c r="E30" s="2">
        <v>2633689000</v>
      </c>
      <c r="F30" s="2">
        <v>941278000</v>
      </c>
      <c r="G30" s="2">
        <v>396233000</v>
      </c>
      <c r="H30" s="2">
        <v>513035000</v>
      </c>
      <c r="I30" s="2">
        <v>220000</v>
      </c>
      <c r="J30" t="s">
        <v>22</v>
      </c>
      <c r="K30" t="s">
        <v>34</v>
      </c>
      <c r="L30">
        <f t="shared" si="0"/>
        <v>0.64260092972252991</v>
      </c>
    </row>
    <row r="31" spans="1:12" x14ac:dyDescent="0.2">
      <c r="A31">
        <v>29</v>
      </c>
      <c r="B31" t="s">
        <v>33</v>
      </c>
      <c r="C31" t="s">
        <v>15</v>
      </c>
      <c r="D31" s="1">
        <v>41944</v>
      </c>
      <c r="E31" s="2">
        <v>2864773000</v>
      </c>
      <c r="F31" s="2">
        <v>1034585000</v>
      </c>
      <c r="G31" s="2">
        <v>454676000</v>
      </c>
      <c r="H31" s="2">
        <v>559686000</v>
      </c>
      <c r="I31" s="2">
        <v>26020000</v>
      </c>
      <c r="J31" t="s">
        <v>22</v>
      </c>
      <c r="K31" t="s">
        <v>34</v>
      </c>
      <c r="L31">
        <f t="shared" si="0"/>
        <v>0.6388596932462014</v>
      </c>
    </row>
    <row r="32" spans="1:12" x14ac:dyDescent="0.2">
      <c r="A32">
        <v>30</v>
      </c>
      <c r="B32" t="s">
        <v>33</v>
      </c>
      <c r="C32" t="s">
        <v>16</v>
      </c>
      <c r="D32" s="1">
        <v>42308</v>
      </c>
      <c r="E32" s="2">
        <v>3435092000</v>
      </c>
      <c r="F32" s="2">
        <v>1175830000</v>
      </c>
      <c r="G32" s="2">
        <v>702644000</v>
      </c>
      <c r="H32" s="2">
        <v>637459000</v>
      </c>
      <c r="I32" s="2">
        <v>88318000</v>
      </c>
      <c r="J32" t="s">
        <v>22</v>
      </c>
      <c r="K32" t="s">
        <v>34</v>
      </c>
      <c r="L32">
        <f t="shared" si="0"/>
        <v>0.65770057978068708</v>
      </c>
    </row>
    <row r="33" spans="1:12" x14ac:dyDescent="0.2">
      <c r="A33">
        <v>31</v>
      </c>
      <c r="B33" t="s">
        <v>33</v>
      </c>
      <c r="C33" t="s">
        <v>17</v>
      </c>
      <c r="D33" s="1">
        <v>42672</v>
      </c>
      <c r="E33" s="2">
        <v>3421409000</v>
      </c>
      <c r="F33" s="2">
        <v>1194236000</v>
      </c>
      <c r="G33" s="2">
        <v>461438000</v>
      </c>
      <c r="H33" s="2">
        <v>653816000</v>
      </c>
      <c r="I33" s="2">
        <v>70123000</v>
      </c>
      <c r="J33" t="s">
        <v>22</v>
      </c>
      <c r="K33" t="s">
        <v>34</v>
      </c>
      <c r="L33">
        <f t="shared" si="0"/>
        <v>0.65095199083184729</v>
      </c>
    </row>
    <row r="34" spans="1:12" x14ac:dyDescent="0.2">
      <c r="A34">
        <v>32</v>
      </c>
      <c r="B34" t="s">
        <v>35</v>
      </c>
      <c r="C34" t="s">
        <v>11</v>
      </c>
      <c r="D34" s="1">
        <v>41274</v>
      </c>
      <c r="E34" s="2">
        <v>90559000000</v>
      </c>
      <c r="F34" s="2">
        <v>86936000000</v>
      </c>
      <c r="G34" s="2">
        <v>1665000000</v>
      </c>
      <c r="H34" t="s">
        <v>12</v>
      </c>
      <c r="I34" t="s">
        <v>12</v>
      </c>
      <c r="J34" t="s">
        <v>36</v>
      </c>
      <c r="K34" t="s">
        <v>37</v>
      </c>
      <c r="L34">
        <f t="shared" si="0"/>
        <v>4.0007067215848235E-2</v>
      </c>
    </row>
    <row r="35" spans="1:12" x14ac:dyDescent="0.2">
      <c r="A35">
        <v>33</v>
      </c>
      <c r="B35" t="s">
        <v>35</v>
      </c>
      <c r="C35" t="s">
        <v>15</v>
      </c>
      <c r="D35" s="1">
        <v>41639</v>
      </c>
      <c r="E35" s="2">
        <v>89804000000</v>
      </c>
      <c r="F35" s="2">
        <v>85915000000</v>
      </c>
      <c r="G35" s="2">
        <v>1759000000</v>
      </c>
      <c r="H35" t="s">
        <v>12</v>
      </c>
      <c r="I35" t="s">
        <v>12</v>
      </c>
      <c r="J35" t="s">
        <v>36</v>
      </c>
      <c r="K35" t="s">
        <v>37</v>
      </c>
      <c r="L35">
        <f t="shared" si="0"/>
        <v>4.330542069395571E-2</v>
      </c>
    </row>
    <row r="36" spans="1:12" x14ac:dyDescent="0.2">
      <c r="A36">
        <v>34</v>
      </c>
      <c r="B36" t="s">
        <v>35</v>
      </c>
      <c r="C36" t="s">
        <v>16</v>
      </c>
      <c r="D36" s="1">
        <v>42004</v>
      </c>
      <c r="E36" s="2">
        <v>81201000000</v>
      </c>
      <c r="F36" s="2">
        <v>76433000000</v>
      </c>
      <c r="G36" s="2">
        <v>1907000000</v>
      </c>
      <c r="H36" t="s">
        <v>12</v>
      </c>
      <c r="I36" t="s">
        <v>12</v>
      </c>
      <c r="J36" t="s">
        <v>36</v>
      </c>
      <c r="K36" t="s">
        <v>37</v>
      </c>
      <c r="L36">
        <f t="shared" si="0"/>
        <v>5.8718488688562998E-2</v>
      </c>
    </row>
    <row r="37" spans="1:12" x14ac:dyDescent="0.2">
      <c r="A37">
        <v>35</v>
      </c>
      <c r="B37" t="s">
        <v>35</v>
      </c>
      <c r="C37" t="s">
        <v>17</v>
      </c>
      <c r="D37" s="1">
        <v>42369</v>
      </c>
      <c r="E37" s="2">
        <v>67702000000</v>
      </c>
      <c r="F37" s="2">
        <v>63682000000</v>
      </c>
      <c r="G37" s="2">
        <v>2010000000</v>
      </c>
      <c r="H37" t="s">
        <v>12</v>
      </c>
      <c r="I37" t="s">
        <v>12</v>
      </c>
      <c r="J37" t="s">
        <v>36</v>
      </c>
      <c r="K37" t="s">
        <v>37</v>
      </c>
      <c r="L37">
        <f t="shared" si="0"/>
        <v>5.9377861806150456E-2</v>
      </c>
    </row>
    <row r="38" spans="1:12" x14ac:dyDescent="0.2">
      <c r="A38">
        <v>36</v>
      </c>
      <c r="B38" t="s">
        <v>38</v>
      </c>
      <c r="C38" t="s">
        <v>11</v>
      </c>
      <c r="D38" s="1">
        <v>41274</v>
      </c>
      <c r="E38" s="2">
        <v>3641390000</v>
      </c>
      <c r="F38" s="2">
        <v>2392091000</v>
      </c>
      <c r="G38" s="2">
        <v>108059000</v>
      </c>
      <c r="H38" t="s">
        <v>12</v>
      </c>
      <c r="I38" s="2">
        <v>166876000</v>
      </c>
      <c r="J38" t="s">
        <v>22</v>
      </c>
      <c r="K38" t="s">
        <v>39</v>
      </c>
      <c r="L38">
        <f t="shared" si="0"/>
        <v>0.34308299852528845</v>
      </c>
    </row>
    <row r="39" spans="1:12" x14ac:dyDescent="0.2">
      <c r="A39">
        <v>37</v>
      </c>
      <c r="B39" t="s">
        <v>38</v>
      </c>
      <c r="C39" t="s">
        <v>15</v>
      </c>
      <c r="D39" s="1">
        <v>41639</v>
      </c>
      <c r="E39" s="2">
        <v>4319063000</v>
      </c>
      <c r="F39" s="2">
        <v>2894917000</v>
      </c>
      <c r="G39" s="2">
        <v>109115000</v>
      </c>
      <c r="H39" t="s">
        <v>12</v>
      </c>
      <c r="I39" s="2">
        <v>216119000</v>
      </c>
      <c r="J39" t="s">
        <v>22</v>
      </c>
      <c r="K39" t="s">
        <v>39</v>
      </c>
      <c r="L39">
        <f t="shared" si="0"/>
        <v>0.32973494482483812</v>
      </c>
    </row>
    <row r="40" spans="1:12" x14ac:dyDescent="0.2">
      <c r="A40">
        <v>38</v>
      </c>
      <c r="B40" t="s">
        <v>38</v>
      </c>
      <c r="C40" t="s">
        <v>16</v>
      </c>
      <c r="D40" s="1">
        <v>42004</v>
      </c>
      <c r="E40" s="2">
        <v>5302940000</v>
      </c>
      <c r="F40" s="2">
        <v>3643979000</v>
      </c>
      <c r="G40" s="2">
        <v>247412000</v>
      </c>
      <c r="H40" t="s">
        <v>12</v>
      </c>
      <c r="I40" s="2">
        <v>313082000</v>
      </c>
      <c r="J40" t="s">
        <v>22</v>
      </c>
      <c r="K40" t="s">
        <v>39</v>
      </c>
      <c r="L40">
        <f t="shared" si="0"/>
        <v>0.31283797289805282</v>
      </c>
    </row>
    <row r="41" spans="1:12" x14ac:dyDescent="0.2">
      <c r="A41">
        <v>39</v>
      </c>
      <c r="B41" t="s">
        <v>38</v>
      </c>
      <c r="C41" t="s">
        <v>17</v>
      </c>
      <c r="D41" s="1">
        <v>42369</v>
      </c>
      <c r="E41" s="2">
        <v>6439746000</v>
      </c>
      <c r="F41" s="2">
        <v>4482700000</v>
      </c>
      <c r="G41" s="2">
        <v>203046000</v>
      </c>
      <c r="H41" t="s">
        <v>12</v>
      </c>
      <c r="I41" s="2">
        <v>492140000</v>
      </c>
      <c r="J41" t="s">
        <v>22</v>
      </c>
      <c r="K41" t="s">
        <v>39</v>
      </c>
      <c r="L41">
        <f t="shared" si="0"/>
        <v>0.30390111659683472</v>
      </c>
    </row>
    <row r="42" spans="1:12" x14ac:dyDescent="0.2">
      <c r="A42">
        <v>40</v>
      </c>
      <c r="B42" t="s">
        <v>40</v>
      </c>
      <c r="C42" t="s">
        <v>11</v>
      </c>
      <c r="D42" s="1">
        <v>41305</v>
      </c>
      <c r="E42" s="2">
        <v>2312200000</v>
      </c>
      <c r="F42" s="2">
        <v>238500000</v>
      </c>
      <c r="G42" s="2">
        <v>1081800000</v>
      </c>
      <c r="H42" s="2">
        <v>600000000</v>
      </c>
      <c r="I42" s="2">
        <v>42100000</v>
      </c>
      <c r="J42" t="s">
        <v>22</v>
      </c>
      <c r="K42" t="s">
        <v>32</v>
      </c>
      <c r="L42">
        <f t="shared" si="0"/>
        <v>0.89685148343568899</v>
      </c>
    </row>
    <row r="43" spans="1:12" x14ac:dyDescent="0.2">
      <c r="A43">
        <v>41</v>
      </c>
      <c r="B43" t="s">
        <v>40</v>
      </c>
      <c r="C43" t="s">
        <v>15</v>
      </c>
      <c r="D43" s="1">
        <v>41670</v>
      </c>
      <c r="E43" s="2">
        <v>2273900000</v>
      </c>
      <c r="F43" s="2">
        <v>274300000</v>
      </c>
      <c r="G43" s="2">
        <v>1054400000</v>
      </c>
      <c r="H43" s="2">
        <v>611100000</v>
      </c>
      <c r="I43" s="2">
        <v>36500000</v>
      </c>
      <c r="J43" t="s">
        <v>22</v>
      </c>
      <c r="K43" t="s">
        <v>32</v>
      </c>
      <c r="L43">
        <f t="shared" si="0"/>
        <v>0.87937024495360394</v>
      </c>
    </row>
    <row r="44" spans="1:12" x14ac:dyDescent="0.2">
      <c r="A44">
        <v>42</v>
      </c>
      <c r="B44" t="s">
        <v>40</v>
      </c>
      <c r="C44" t="s">
        <v>16</v>
      </c>
      <c r="D44" s="1">
        <v>42035</v>
      </c>
      <c r="E44" s="2">
        <v>2512200000</v>
      </c>
      <c r="F44" s="2">
        <v>342100000</v>
      </c>
      <c r="G44" s="2">
        <v>1281300000</v>
      </c>
      <c r="H44" s="2">
        <v>725200000</v>
      </c>
      <c r="I44" s="2">
        <v>39800000</v>
      </c>
      <c r="J44" t="s">
        <v>22</v>
      </c>
      <c r="K44" t="s">
        <v>32</v>
      </c>
      <c r="L44">
        <f t="shared" si="0"/>
        <v>0.86382453626303635</v>
      </c>
    </row>
    <row r="45" spans="1:12" x14ac:dyDescent="0.2">
      <c r="A45">
        <v>43</v>
      </c>
      <c r="B45" t="s">
        <v>40</v>
      </c>
      <c r="C45" t="s">
        <v>17</v>
      </c>
      <c r="D45" s="1">
        <v>42400</v>
      </c>
      <c r="E45" s="2">
        <v>2504100000</v>
      </c>
      <c r="F45" s="2">
        <v>370700000</v>
      </c>
      <c r="G45" s="2">
        <v>1308900000</v>
      </c>
      <c r="H45" s="2">
        <v>790000000</v>
      </c>
      <c r="I45" s="2">
        <v>33200000</v>
      </c>
      <c r="J45" t="s">
        <v>22</v>
      </c>
      <c r="K45" t="s">
        <v>32</v>
      </c>
      <c r="L45">
        <f t="shared" si="0"/>
        <v>0.85196278103909595</v>
      </c>
    </row>
    <row r="46" spans="1:12" x14ac:dyDescent="0.2">
      <c r="A46">
        <v>44</v>
      </c>
      <c r="B46" t="s">
        <v>41</v>
      </c>
      <c r="C46" t="s">
        <v>11</v>
      </c>
      <c r="D46" s="1">
        <v>41274</v>
      </c>
      <c r="E46" s="2">
        <v>5781000000</v>
      </c>
      <c r="F46" s="2">
        <v>3477000000</v>
      </c>
      <c r="G46" s="2">
        <v>443000000</v>
      </c>
      <c r="H46" t="s">
        <v>12</v>
      </c>
      <c r="I46" s="2">
        <v>673000000</v>
      </c>
      <c r="J46" t="s">
        <v>42</v>
      </c>
      <c r="K46" t="s">
        <v>43</v>
      </c>
      <c r="L46">
        <f t="shared" si="0"/>
        <v>0.39854696419304614</v>
      </c>
    </row>
    <row r="47" spans="1:12" x14ac:dyDescent="0.2">
      <c r="A47">
        <v>45</v>
      </c>
      <c r="B47" t="s">
        <v>41</v>
      </c>
      <c r="C47" t="s">
        <v>15</v>
      </c>
      <c r="D47" s="1">
        <v>41639</v>
      </c>
      <c r="E47" s="2">
        <v>5838000000</v>
      </c>
      <c r="F47" s="2">
        <v>3490000000</v>
      </c>
      <c r="G47" s="2">
        <v>458000000</v>
      </c>
      <c r="H47" t="s">
        <v>12</v>
      </c>
      <c r="I47" s="2">
        <v>706000000</v>
      </c>
      <c r="J47" t="s">
        <v>42</v>
      </c>
      <c r="K47" t="s">
        <v>43</v>
      </c>
      <c r="L47">
        <f t="shared" si="0"/>
        <v>0.40219253168893454</v>
      </c>
    </row>
    <row r="48" spans="1:12" x14ac:dyDescent="0.2">
      <c r="A48">
        <v>46</v>
      </c>
      <c r="B48" t="s">
        <v>41</v>
      </c>
      <c r="C48" t="s">
        <v>16</v>
      </c>
      <c r="D48" s="1">
        <v>42004</v>
      </c>
      <c r="E48" s="2">
        <v>6053000000</v>
      </c>
      <c r="F48" s="2">
        <v>3586000000</v>
      </c>
      <c r="G48" s="2">
        <v>468000000</v>
      </c>
      <c r="H48" t="s">
        <v>12</v>
      </c>
      <c r="I48" s="2">
        <v>745000000</v>
      </c>
      <c r="J48" t="s">
        <v>42</v>
      </c>
      <c r="K48" t="s">
        <v>43</v>
      </c>
      <c r="L48">
        <f t="shared" si="0"/>
        <v>0.40756649595242034</v>
      </c>
    </row>
    <row r="49" spans="1:12" x14ac:dyDescent="0.2">
      <c r="A49">
        <v>47</v>
      </c>
      <c r="B49" t="s">
        <v>41</v>
      </c>
      <c r="C49" t="s">
        <v>17</v>
      </c>
      <c r="D49" s="1">
        <v>42369</v>
      </c>
      <c r="E49" s="2">
        <v>6098000000</v>
      </c>
      <c r="F49" s="2">
        <v>3501000000</v>
      </c>
      <c r="G49" s="2">
        <v>542000000</v>
      </c>
      <c r="H49" t="s">
        <v>12</v>
      </c>
      <c r="I49" s="2">
        <v>796000000</v>
      </c>
      <c r="J49" t="s">
        <v>42</v>
      </c>
      <c r="K49" t="s">
        <v>43</v>
      </c>
      <c r="L49">
        <f t="shared" si="0"/>
        <v>0.42587733683174811</v>
      </c>
    </row>
    <row r="50" spans="1:12" x14ac:dyDescent="0.2">
      <c r="A50">
        <v>48</v>
      </c>
      <c r="B50" t="s">
        <v>44</v>
      </c>
      <c r="C50" t="s">
        <v>11</v>
      </c>
      <c r="D50" s="1">
        <v>41274</v>
      </c>
      <c r="E50" s="2">
        <v>14945000000</v>
      </c>
      <c r="F50" s="2">
        <v>6395000000</v>
      </c>
      <c r="G50" s="2">
        <v>3812000000</v>
      </c>
      <c r="H50" t="s">
        <v>12</v>
      </c>
      <c r="I50" s="2">
        <v>1782000000</v>
      </c>
      <c r="J50" t="s">
        <v>42</v>
      </c>
      <c r="K50" t="s">
        <v>45</v>
      </c>
      <c r="L50">
        <f t="shared" si="0"/>
        <v>0.57209769153563061</v>
      </c>
    </row>
    <row r="51" spans="1:12" x14ac:dyDescent="0.2">
      <c r="A51">
        <v>49</v>
      </c>
      <c r="B51" t="s">
        <v>44</v>
      </c>
      <c r="C51" t="s">
        <v>15</v>
      </c>
      <c r="D51" s="1">
        <v>41639</v>
      </c>
      <c r="E51" s="2">
        <v>14813500000</v>
      </c>
      <c r="F51" s="2">
        <v>6722300000</v>
      </c>
      <c r="G51" s="2">
        <v>3329800000</v>
      </c>
      <c r="H51" t="s">
        <v>12</v>
      </c>
      <c r="I51" s="2">
        <v>1712500000</v>
      </c>
      <c r="J51" t="s">
        <v>42</v>
      </c>
      <c r="K51" t="s">
        <v>45</v>
      </c>
      <c r="L51">
        <f t="shared" si="0"/>
        <v>0.54620447564721375</v>
      </c>
    </row>
    <row r="52" spans="1:12" x14ac:dyDescent="0.2">
      <c r="A52">
        <v>50</v>
      </c>
      <c r="B52" t="s">
        <v>44</v>
      </c>
      <c r="C52" t="s">
        <v>16</v>
      </c>
      <c r="D52" s="1">
        <v>42004</v>
      </c>
      <c r="E52" s="2">
        <v>16378600000</v>
      </c>
      <c r="F52" s="2">
        <v>7685700000</v>
      </c>
      <c r="G52" s="2">
        <v>3667900000</v>
      </c>
      <c r="H52" t="s">
        <v>12</v>
      </c>
      <c r="I52" s="2">
        <v>1897600000</v>
      </c>
      <c r="J52" t="s">
        <v>42</v>
      </c>
      <c r="K52" t="s">
        <v>45</v>
      </c>
      <c r="L52">
        <f t="shared" si="0"/>
        <v>0.53074743873102714</v>
      </c>
    </row>
    <row r="53" spans="1:12" x14ac:dyDescent="0.2">
      <c r="A53">
        <v>51</v>
      </c>
      <c r="B53" t="s">
        <v>44</v>
      </c>
      <c r="C53" t="s">
        <v>17</v>
      </c>
      <c r="D53" s="1">
        <v>42369</v>
      </c>
      <c r="E53" s="2">
        <v>16453200000</v>
      </c>
      <c r="F53" s="2">
        <v>7433500000</v>
      </c>
      <c r="G53" s="2">
        <v>3676500000</v>
      </c>
      <c r="H53" t="s">
        <v>12</v>
      </c>
      <c r="I53" s="2">
        <v>2009700000</v>
      </c>
      <c r="J53" t="s">
        <v>42</v>
      </c>
      <c r="K53" t="s">
        <v>45</v>
      </c>
      <c r="L53">
        <f t="shared" si="0"/>
        <v>0.54820338900639387</v>
      </c>
    </row>
    <row r="54" spans="1:12" x14ac:dyDescent="0.2">
      <c r="A54">
        <v>52</v>
      </c>
      <c r="B54" t="s">
        <v>46</v>
      </c>
      <c r="C54" t="s">
        <v>11</v>
      </c>
      <c r="D54" s="1">
        <v>41274</v>
      </c>
      <c r="E54" s="2">
        <v>25364000000</v>
      </c>
      <c r="F54" s="2">
        <v>17074000000</v>
      </c>
      <c r="G54" t="s">
        <v>12</v>
      </c>
      <c r="H54" t="s">
        <v>12</v>
      </c>
      <c r="I54" s="2">
        <v>3727000000</v>
      </c>
      <c r="J54" t="s">
        <v>47</v>
      </c>
      <c r="K54" t="s">
        <v>48</v>
      </c>
      <c r="L54">
        <f t="shared" si="0"/>
        <v>0.32684119224097141</v>
      </c>
    </row>
    <row r="55" spans="1:12" x14ac:dyDescent="0.2">
      <c r="A55">
        <v>53</v>
      </c>
      <c r="B55" t="s">
        <v>46</v>
      </c>
      <c r="C55" t="s">
        <v>15</v>
      </c>
      <c r="D55" s="1">
        <v>41639</v>
      </c>
      <c r="E55" s="2">
        <v>23939000000</v>
      </c>
      <c r="F55" s="2">
        <v>15341000000</v>
      </c>
      <c r="G55" t="s">
        <v>12</v>
      </c>
      <c r="H55" t="s">
        <v>12</v>
      </c>
      <c r="I55" s="2">
        <v>3489000000</v>
      </c>
      <c r="J55" t="s">
        <v>47</v>
      </c>
      <c r="K55" t="s">
        <v>48</v>
      </c>
      <c r="L55">
        <f t="shared" si="0"/>
        <v>0.35916287230043031</v>
      </c>
    </row>
    <row r="56" spans="1:12" x14ac:dyDescent="0.2">
      <c r="A56">
        <v>54</v>
      </c>
      <c r="B56" t="s">
        <v>46</v>
      </c>
      <c r="C56" t="s">
        <v>16</v>
      </c>
      <c r="D56" s="1">
        <v>42004</v>
      </c>
      <c r="E56" s="2">
        <v>22728000000</v>
      </c>
      <c r="F56" s="2">
        <v>14373000000</v>
      </c>
      <c r="G56" t="s">
        <v>12</v>
      </c>
      <c r="H56" t="s">
        <v>12</v>
      </c>
      <c r="I56" s="2">
        <v>3547000000</v>
      </c>
      <c r="J56" t="s">
        <v>47</v>
      </c>
      <c r="K56" t="s">
        <v>48</v>
      </c>
      <c r="L56">
        <f t="shared" si="0"/>
        <v>0.36760823653643082</v>
      </c>
    </row>
    <row r="57" spans="1:12" x14ac:dyDescent="0.2">
      <c r="A57">
        <v>55</v>
      </c>
      <c r="B57" t="s">
        <v>46</v>
      </c>
      <c r="C57" t="s">
        <v>17</v>
      </c>
      <c r="D57" s="1">
        <v>42369</v>
      </c>
      <c r="E57" s="2">
        <v>20872000000</v>
      </c>
      <c r="F57" s="2">
        <v>13049000000</v>
      </c>
      <c r="G57" t="s">
        <v>12</v>
      </c>
      <c r="H57" t="s">
        <v>12</v>
      </c>
      <c r="I57" s="2">
        <v>3672000000</v>
      </c>
      <c r="J57" t="s">
        <v>47</v>
      </c>
      <c r="K57" t="s">
        <v>48</v>
      </c>
      <c r="L57">
        <f t="shared" si="0"/>
        <v>0.3748083556918359</v>
      </c>
    </row>
    <row r="58" spans="1:12" x14ac:dyDescent="0.2">
      <c r="A58">
        <v>56</v>
      </c>
      <c r="B58" t="s">
        <v>49</v>
      </c>
      <c r="C58" t="s">
        <v>11</v>
      </c>
      <c r="D58" s="1">
        <v>41274</v>
      </c>
      <c r="E58" s="2">
        <v>71214000000</v>
      </c>
      <c r="F58" s="2">
        <v>37745000000</v>
      </c>
      <c r="G58" s="2">
        <v>21491000000</v>
      </c>
      <c r="H58" t="s">
        <v>12</v>
      </c>
      <c r="I58" t="s">
        <v>12</v>
      </c>
      <c r="J58" t="s">
        <v>47</v>
      </c>
      <c r="K58" t="s">
        <v>50</v>
      </c>
      <c r="L58">
        <f t="shared" si="0"/>
        <v>0.46997781335130728</v>
      </c>
    </row>
    <row r="59" spans="1:12" x14ac:dyDescent="0.2">
      <c r="A59">
        <v>57</v>
      </c>
      <c r="B59" t="s">
        <v>49</v>
      </c>
      <c r="C59" t="s">
        <v>15</v>
      </c>
      <c r="D59" s="1">
        <v>41639</v>
      </c>
      <c r="E59" s="2">
        <v>68874000000</v>
      </c>
      <c r="F59" s="2">
        <v>34660000000</v>
      </c>
      <c r="G59" s="2">
        <v>22005000000</v>
      </c>
      <c r="H59" t="s">
        <v>12</v>
      </c>
      <c r="I59" t="s">
        <v>12</v>
      </c>
      <c r="J59" t="s">
        <v>47</v>
      </c>
      <c r="K59" t="s">
        <v>50</v>
      </c>
      <c r="L59">
        <f t="shared" si="0"/>
        <v>0.49676220344397015</v>
      </c>
    </row>
    <row r="60" spans="1:12" x14ac:dyDescent="0.2">
      <c r="A60">
        <v>58</v>
      </c>
      <c r="B60" t="s">
        <v>49</v>
      </c>
      <c r="C60" t="s">
        <v>16</v>
      </c>
      <c r="D60" s="1">
        <v>42004</v>
      </c>
      <c r="E60" s="2">
        <v>64406000000</v>
      </c>
      <c r="F60" s="2">
        <v>33611000000</v>
      </c>
      <c r="G60" s="2">
        <v>18491000000</v>
      </c>
      <c r="H60" t="s">
        <v>12</v>
      </c>
      <c r="I60" t="s">
        <v>12</v>
      </c>
      <c r="J60" t="s">
        <v>47</v>
      </c>
      <c r="K60" t="s">
        <v>50</v>
      </c>
      <c r="L60">
        <f t="shared" si="0"/>
        <v>0.47813868273142257</v>
      </c>
    </row>
    <row r="61" spans="1:12" x14ac:dyDescent="0.2">
      <c r="A61">
        <v>59</v>
      </c>
      <c r="B61" t="s">
        <v>49</v>
      </c>
      <c r="C61" t="s">
        <v>17</v>
      </c>
      <c r="D61" s="1">
        <v>42369</v>
      </c>
      <c r="E61" s="2">
        <v>58327000000</v>
      </c>
      <c r="F61" s="2">
        <v>36581000000</v>
      </c>
      <c r="G61" s="2">
        <v>16417000000</v>
      </c>
      <c r="H61" t="s">
        <v>12</v>
      </c>
      <c r="I61" t="s">
        <v>12</v>
      </c>
      <c r="J61" t="s">
        <v>47</v>
      </c>
      <c r="K61" t="s">
        <v>50</v>
      </c>
      <c r="L61">
        <f t="shared" si="0"/>
        <v>0.37282905001114408</v>
      </c>
    </row>
    <row r="62" spans="1:12" x14ac:dyDescent="0.2">
      <c r="A62">
        <v>60</v>
      </c>
      <c r="B62" t="s">
        <v>51</v>
      </c>
      <c r="C62" t="s">
        <v>11</v>
      </c>
      <c r="D62" s="1">
        <v>41274</v>
      </c>
      <c r="E62" s="2">
        <v>958511000</v>
      </c>
      <c r="F62" s="2">
        <v>386355000</v>
      </c>
      <c r="G62" s="2">
        <v>61732000</v>
      </c>
      <c r="H62" t="s">
        <v>12</v>
      </c>
      <c r="I62" s="2">
        <v>325173000</v>
      </c>
      <c r="J62" t="s">
        <v>52</v>
      </c>
      <c r="K62" t="s">
        <v>53</v>
      </c>
      <c r="L62">
        <f t="shared" si="0"/>
        <v>0.59692168373654553</v>
      </c>
    </row>
    <row r="63" spans="1:12" x14ac:dyDescent="0.2">
      <c r="A63">
        <v>61</v>
      </c>
      <c r="B63" t="s">
        <v>51</v>
      </c>
      <c r="C63" t="s">
        <v>15</v>
      </c>
      <c r="D63" s="1">
        <v>41639</v>
      </c>
      <c r="E63" s="2">
        <v>974053000</v>
      </c>
      <c r="F63" s="2">
        <v>380051000</v>
      </c>
      <c r="G63" s="2">
        <v>53073000</v>
      </c>
      <c r="H63" t="s">
        <v>12</v>
      </c>
      <c r="I63" s="2">
        <v>291910000</v>
      </c>
      <c r="J63" t="s">
        <v>52</v>
      </c>
      <c r="K63" t="s">
        <v>53</v>
      </c>
      <c r="L63">
        <f t="shared" si="0"/>
        <v>0.6098251327186508</v>
      </c>
    </row>
    <row r="64" spans="1:12" x14ac:dyDescent="0.2">
      <c r="A64">
        <v>62</v>
      </c>
      <c r="B64" t="s">
        <v>51</v>
      </c>
      <c r="C64" t="s">
        <v>16</v>
      </c>
      <c r="D64" s="1">
        <v>42004</v>
      </c>
      <c r="E64" s="2">
        <v>984363000</v>
      </c>
      <c r="F64" s="2">
        <v>380964000</v>
      </c>
      <c r="G64" s="2">
        <v>56621000</v>
      </c>
      <c r="H64" t="s">
        <v>12</v>
      </c>
      <c r="I64" s="2">
        <v>282608000</v>
      </c>
      <c r="J64" t="s">
        <v>52</v>
      </c>
      <c r="K64" t="s">
        <v>53</v>
      </c>
      <c r="L64">
        <f t="shared" si="0"/>
        <v>0.61298423447447736</v>
      </c>
    </row>
    <row r="65" spans="1:12" x14ac:dyDescent="0.2">
      <c r="A65">
        <v>63</v>
      </c>
      <c r="B65" t="s">
        <v>51</v>
      </c>
      <c r="C65" t="s">
        <v>17</v>
      </c>
      <c r="D65" s="1">
        <v>42369</v>
      </c>
      <c r="E65" s="2">
        <v>981310000</v>
      </c>
      <c r="F65" s="2">
        <v>365248000</v>
      </c>
      <c r="G65" s="2">
        <v>53546000</v>
      </c>
      <c r="H65" t="s">
        <v>12</v>
      </c>
      <c r="I65" s="2">
        <v>306301000</v>
      </c>
      <c r="J65" t="s">
        <v>52</v>
      </c>
      <c r="K65" t="s">
        <v>53</v>
      </c>
      <c r="L65">
        <f t="shared" si="0"/>
        <v>0.62779549785490829</v>
      </c>
    </row>
    <row r="66" spans="1:12" x14ac:dyDescent="0.2">
      <c r="A66">
        <v>64</v>
      </c>
      <c r="B66" t="s">
        <v>54</v>
      </c>
      <c r="C66" t="s">
        <v>11</v>
      </c>
      <c r="D66" s="1">
        <v>41639</v>
      </c>
      <c r="E66" s="2">
        <v>9047657000</v>
      </c>
      <c r="F66" s="2">
        <v>6709936000</v>
      </c>
      <c r="G66" t="s">
        <v>12</v>
      </c>
      <c r="H66" t="s">
        <v>12</v>
      </c>
      <c r="I66" s="2">
        <v>1470287000</v>
      </c>
      <c r="J66" t="s">
        <v>47</v>
      </c>
      <c r="K66" t="s">
        <v>55</v>
      </c>
      <c r="L66">
        <f t="shared" si="0"/>
        <v>0.25837860564342796</v>
      </c>
    </row>
    <row r="67" spans="1:12" x14ac:dyDescent="0.2">
      <c r="A67">
        <v>65</v>
      </c>
      <c r="B67" t="s">
        <v>54</v>
      </c>
      <c r="C67" t="s">
        <v>15</v>
      </c>
      <c r="D67" s="1">
        <v>42004</v>
      </c>
      <c r="E67" s="2">
        <v>10381653000</v>
      </c>
      <c r="F67" s="2">
        <v>8093563000</v>
      </c>
      <c r="G67" t="s">
        <v>12</v>
      </c>
      <c r="H67" t="s">
        <v>12</v>
      </c>
      <c r="I67" s="2">
        <v>1485558000</v>
      </c>
      <c r="J67" t="s">
        <v>47</v>
      </c>
      <c r="K67" t="s">
        <v>55</v>
      </c>
      <c r="L67">
        <f t="shared" ref="L67:L130" si="1">1-F67/E67</f>
        <v>0.22039746464267296</v>
      </c>
    </row>
    <row r="68" spans="1:12" x14ac:dyDescent="0.2">
      <c r="A68">
        <v>66</v>
      </c>
      <c r="B68" t="s">
        <v>54</v>
      </c>
      <c r="C68" t="s">
        <v>16</v>
      </c>
      <c r="D68" s="1">
        <v>42369</v>
      </c>
      <c r="E68" s="2">
        <v>10325494000</v>
      </c>
      <c r="F68" s="2">
        <v>8666624000</v>
      </c>
      <c r="G68" t="s">
        <v>12</v>
      </c>
      <c r="H68" t="s">
        <v>12</v>
      </c>
      <c r="I68" s="2">
        <v>1402573000</v>
      </c>
      <c r="J68" t="s">
        <v>47</v>
      </c>
      <c r="K68" t="s">
        <v>55</v>
      </c>
      <c r="L68">
        <f t="shared" si="1"/>
        <v>0.16065768862971597</v>
      </c>
    </row>
    <row r="69" spans="1:12" x14ac:dyDescent="0.2">
      <c r="A69">
        <v>67</v>
      </c>
      <c r="B69" t="s">
        <v>54</v>
      </c>
      <c r="C69" t="s">
        <v>17</v>
      </c>
      <c r="D69" s="1">
        <v>42735</v>
      </c>
      <c r="E69" s="2">
        <v>7531780000</v>
      </c>
      <c r="F69" s="2">
        <v>5251228000</v>
      </c>
      <c r="G69" t="s">
        <v>12</v>
      </c>
      <c r="H69" t="s">
        <v>12</v>
      </c>
      <c r="I69" s="2">
        <v>1351314000</v>
      </c>
      <c r="J69" t="s">
        <v>47</v>
      </c>
      <c r="K69" t="s">
        <v>55</v>
      </c>
      <c r="L69">
        <f t="shared" si="1"/>
        <v>0.30279057540183063</v>
      </c>
    </row>
    <row r="70" spans="1:12" x14ac:dyDescent="0.2">
      <c r="A70">
        <v>72</v>
      </c>
      <c r="B70" t="s">
        <v>56</v>
      </c>
      <c r="C70" t="s">
        <v>11</v>
      </c>
      <c r="D70" s="1">
        <v>41274</v>
      </c>
      <c r="E70" s="2">
        <v>1373947000</v>
      </c>
      <c r="F70" s="2">
        <v>529900000</v>
      </c>
      <c r="G70" s="2">
        <v>433448000</v>
      </c>
      <c r="H70" s="2">
        <v>74744000</v>
      </c>
      <c r="I70" s="2">
        <v>20962000</v>
      </c>
      <c r="J70" t="s">
        <v>22</v>
      </c>
      <c r="K70" t="s">
        <v>57</v>
      </c>
      <c r="L70">
        <f t="shared" si="1"/>
        <v>0.61432282322389442</v>
      </c>
    </row>
    <row r="71" spans="1:12" x14ac:dyDescent="0.2">
      <c r="A71">
        <v>73</v>
      </c>
      <c r="B71" t="s">
        <v>56</v>
      </c>
      <c r="C71" t="s">
        <v>15</v>
      </c>
      <c r="D71" s="1">
        <v>41639</v>
      </c>
      <c r="E71" s="2">
        <v>1577922000</v>
      </c>
      <c r="F71" s="2">
        <v>511087000</v>
      </c>
      <c r="G71" s="2">
        <v>535598000</v>
      </c>
      <c r="H71" s="2">
        <v>93879000</v>
      </c>
      <c r="I71" s="2">
        <v>21547000</v>
      </c>
      <c r="J71" t="s">
        <v>22</v>
      </c>
      <c r="K71" t="s">
        <v>57</v>
      </c>
      <c r="L71">
        <f t="shared" si="1"/>
        <v>0.67610122680335283</v>
      </c>
    </row>
    <row r="72" spans="1:12" x14ac:dyDescent="0.2">
      <c r="A72">
        <v>74</v>
      </c>
      <c r="B72" t="s">
        <v>56</v>
      </c>
      <c r="C72" t="s">
        <v>16</v>
      </c>
      <c r="D72" s="1">
        <v>42004</v>
      </c>
      <c r="E72" s="2">
        <v>1963874000</v>
      </c>
      <c r="F72" s="2">
        <v>610943000</v>
      </c>
      <c r="G72" s="2">
        <v>704880000</v>
      </c>
      <c r="H72" s="2">
        <v>125286000</v>
      </c>
      <c r="I72" s="2">
        <v>32057000</v>
      </c>
      <c r="J72" t="s">
        <v>22</v>
      </c>
      <c r="K72" t="s">
        <v>57</v>
      </c>
      <c r="L72">
        <f t="shared" si="1"/>
        <v>0.68890926810986852</v>
      </c>
    </row>
    <row r="73" spans="1:12" x14ac:dyDescent="0.2">
      <c r="A73">
        <v>75</v>
      </c>
      <c r="B73" t="s">
        <v>56</v>
      </c>
      <c r="C73" t="s">
        <v>17</v>
      </c>
      <c r="D73" s="1">
        <v>42369</v>
      </c>
      <c r="E73" s="2">
        <v>2197448000</v>
      </c>
      <c r="F73" s="2">
        <v>725620000</v>
      </c>
      <c r="G73" s="2">
        <v>829253000</v>
      </c>
      <c r="H73" s="2">
        <v>148591000</v>
      </c>
      <c r="I73" s="2">
        <v>27067000</v>
      </c>
      <c r="J73" t="s">
        <v>22</v>
      </c>
      <c r="K73" t="s">
        <v>57</v>
      </c>
      <c r="L73">
        <f t="shared" si="1"/>
        <v>0.66978968330536148</v>
      </c>
    </row>
    <row r="74" spans="1:12" x14ac:dyDescent="0.2">
      <c r="A74">
        <v>76</v>
      </c>
      <c r="B74" t="s">
        <v>58</v>
      </c>
      <c r="C74" t="s">
        <v>11</v>
      </c>
      <c r="D74" s="1">
        <v>41274</v>
      </c>
      <c r="E74" s="2">
        <v>2519154000</v>
      </c>
      <c r="F74" s="2">
        <v>1620311000</v>
      </c>
      <c r="G74" s="2">
        <v>308456000</v>
      </c>
      <c r="H74" s="2">
        <v>78919000</v>
      </c>
      <c r="I74" t="s">
        <v>12</v>
      </c>
      <c r="J74" t="s">
        <v>59</v>
      </c>
      <c r="K74" t="s">
        <v>60</v>
      </c>
      <c r="L74">
        <f t="shared" si="1"/>
        <v>0.35680351419563872</v>
      </c>
    </row>
    <row r="75" spans="1:12" x14ac:dyDescent="0.2">
      <c r="A75">
        <v>77</v>
      </c>
      <c r="B75" t="s">
        <v>58</v>
      </c>
      <c r="C75" t="s">
        <v>15</v>
      </c>
      <c r="D75" s="1">
        <v>41639</v>
      </c>
      <c r="E75" s="2">
        <v>2394270000</v>
      </c>
      <c r="F75" s="2">
        <v>1543799000</v>
      </c>
      <c r="G75" s="2">
        <v>158189000</v>
      </c>
      <c r="H75" s="2">
        <v>82246000</v>
      </c>
      <c r="I75" t="s">
        <v>12</v>
      </c>
      <c r="J75" t="s">
        <v>59</v>
      </c>
      <c r="K75" t="s">
        <v>60</v>
      </c>
      <c r="L75">
        <f t="shared" si="1"/>
        <v>0.35521098288831254</v>
      </c>
    </row>
    <row r="76" spans="1:12" x14ac:dyDescent="0.2">
      <c r="A76">
        <v>78</v>
      </c>
      <c r="B76" t="s">
        <v>58</v>
      </c>
      <c r="C76" t="s">
        <v>16</v>
      </c>
      <c r="D76" s="1">
        <v>42004</v>
      </c>
      <c r="E76" s="2">
        <v>2445548000</v>
      </c>
      <c r="F76" s="2">
        <v>1674700000</v>
      </c>
      <c r="G76" s="2">
        <v>355135000</v>
      </c>
      <c r="H76" s="2">
        <v>88310000</v>
      </c>
      <c r="I76" t="s">
        <v>12</v>
      </c>
      <c r="J76" t="s">
        <v>59</v>
      </c>
      <c r="K76" t="s">
        <v>60</v>
      </c>
      <c r="L76">
        <f t="shared" si="1"/>
        <v>0.31520460853763654</v>
      </c>
    </row>
    <row r="77" spans="1:12" x14ac:dyDescent="0.2">
      <c r="A77">
        <v>79</v>
      </c>
      <c r="B77" t="s">
        <v>58</v>
      </c>
      <c r="C77" t="s">
        <v>17</v>
      </c>
      <c r="D77" s="1">
        <v>42369</v>
      </c>
      <c r="E77" s="2">
        <v>3651335000</v>
      </c>
      <c r="F77" s="2">
        <v>2454463000</v>
      </c>
      <c r="G77" s="2">
        <v>512274000</v>
      </c>
      <c r="H77" s="2">
        <v>102871000</v>
      </c>
      <c r="I77" t="s">
        <v>12</v>
      </c>
      <c r="J77" t="s">
        <v>59</v>
      </c>
      <c r="K77" t="s">
        <v>60</v>
      </c>
      <c r="L77">
        <f t="shared" si="1"/>
        <v>0.32779024658104505</v>
      </c>
    </row>
    <row r="78" spans="1:12" x14ac:dyDescent="0.2">
      <c r="A78">
        <v>80</v>
      </c>
      <c r="B78" t="s">
        <v>61</v>
      </c>
      <c r="C78" t="s">
        <v>11</v>
      </c>
      <c r="D78" s="1">
        <v>41274</v>
      </c>
      <c r="E78" s="2">
        <v>4657000000</v>
      </c>
      <c r="F78" s="2">
        <v>2319000000</v>
      </c>
      <c r="G78" s="2">
        <v>1542000000</v>
      </c>
      <c r="H78" t="s">
        <v>12</v>
      </c>
      <c r="I78" s="2">
        <v>264000000</v>
      </c>
      <c r="J78" t="s">
        <v>13</v>
      </c>
      <c r="K78" t="s">
        <v>14</v>
      </c>
      <c r="L78">
        <f t="shared" si="1"/>
        <v>0.50203993987545625</v>
      </c>
    </row>
    <row r="79" spans="1:12" x14ac:dyDescent="0.2">
      <c r="A79">
        <v>81</v>
      </c>
      <c r="B79" t="s">
        <v>61</v>
      </c>
      <c r="C79" t="s">
        <v>15</v>
      </c>
      <c r="D79" s="1">
        <v>41639</v>
      </c>
      <c r="E79" s="2">
        <v>5156000000</v>
      </c>
      <c r="F79" s="2">
        <v>2355000000</v>
      </c>
      <c r="G79" s="2">
        <v>1693000000</v>
      </c>
      <c r="H79" t="s">
        <v>12</v>
      </c>
      <c r="I79" s="2">
        <v>270000000</v>
      </c>
      <c r="J79" t="s">
        <v>13</v>
      </c>
      <c r="K79" t="s">
        <v>14</v>
      </c>
      <c r="L79">
        <f t="shared" si="1"/>
        <v>0.54325058184639263</v>
      </c>
    </row>
    <row r="80" spans="1:12" x14ac:dyDescent="0.2">
      <c r="A80">
        <v>82</v>
      </c>
      <c r="B80" t="s">
        <v>61</v>
      </c>
      <c r="C80" t="s">
        <v>16</v>
      </c>
      <c r="D80" s="1">
        <v>42004</v>
      </c>
      <c r="E80" s="2">
        <v>5368000000</v>
      </c>
      <c r="F80" s="2">
        <v>2325000000</v>
      </c>
      <c r="G80" s="2">
        <v>1817000000</v>
      </c>
      <c r="H80" t="s">
        <v>12</v>
      </c>
      <c r="I80" s="2">
        <v>294000000</v>
      </c>
      <c r="J80" t="s">
        <v>13</v>
      </c>
      <c r="K80" t="s">
        <v>14</v>
      </c>
      <c r="L80">
        <f t="shared" si="1"/>
        <v>0.56687779433681074</v>
      </c>
    </row>
    <row r="81" spans="1:12" x14ac:dyDescent="0.2">
      <c r="A81">
        <v>83</v>
      </c>
      <c r="B81" t="s">
        <v>61</v>
      </c>
      <c r="C81" t="s">
        <v>17</v>
      </c>
      <c r="D81" s="1">
        <v>42369</v>
      </c>
      <c r="E81" s="2">
        <v>5598000000</v>
      </c>
      <c r="F81" s="2">
        <v>1935000000</v>
      </c>
      <c r="G81" s="2">
        <v>2013000000</v>
      </c>
      <c r="H81" t="s">
        <v>12</v>
      </c>
      <c r="I81" s="2">
        <v>320000000</v>
      </c>
      <c r="J81" t="s">
        <v>13</v>
      </c>
      <c r="K81" t="s">
        <v>14</v>
      </c>
      <c r="L81">
        <f t="shared" si="1"/>
        <v>0.65434083601286175</v>
      </c>
    </row>
    <row r="82" spans="1:12" x14ac:dyDescent="0.2">
      <c r="A82">
        <v>84</v>
      </c>
      <c r="B82" t="s">
        <v>62</v>
      </c>
      <c r="C82" t="s">
        <v>11</v>
      </c>
      <c r="D82" s="1">
        <v>41274</v>
      </c>
      <c r="E82" s="2">
        <v>33315000000</v>
      </c>
      <c r="F82" s="2">
        <v>21618000000</v>
      </c>
      <c r="G82" t="s">
        <v>12</v>
      </c>
      <c r="H82" t="s">
        <v>12</v>
      </c>
      <c r="I82" s="2">
        <v>8002000000</v>
      </c>
      <c r="J82" t="s">
        <v>47</v>
      </c>
      <c r="K82" t="s">
        <v>50</v>
      </c>
      <c r="L82">
        <f t="shared" si="1"/>
        <v>0.35110310670868983</v>
      </c>
    </row>
    <row r="83" spans="1:12" x14ac:dyDescent="0.2">
      <c r="A83">
        <v>85</v>
      </c>
      <c r="B83" t="s">
        <v>62</v>
      </c>
      <c r="C83" t="s">
        <v>15</v>
      </c>
      <c r="D83" s="1">
        <v>41639</v>
      </c>
      <c r="E83" s="2">
        <v>34507000000</v>
      </c>
      <c r="F83" s="2">
        <v>19828000000</v>
      </c>
      <c r="G83" s="2">
        <v>1278000000</v>
      </c>
      <c r="H83" t="s">
        <v>12</v>
      </c>
      <c r="I83" s="2">
        <v>8389000000</v>
      </c>
      <c r="J83" t="s">
        <v>47</v>
      </c>
      <c r="K83" t="s">
        <v>50</v>
      </c>
      <c r="L83">
        <f t="shared" si="1"/>
        <v>0.42539194945952996</v>
      </c>
    </row>
    <row r="84" spans="1:12" x14ac:dyDescent="0.2">
      <c r="A84">
        <v>86</v>
      </c>
      <c r="B84" t="s">
        <v>62</v>
      </c>
      <c r="C84" t="s">
        <v>16</v>
      </c>
      <c r="D84" s="1">
        <v>42004</v>
      </c>
      <c r="E84" s="2">
        <v>35239000000</v>
      </c>
      <c r="F84" s="2">
        <v>21193000000</v>
      </c>
      <c r="G84" s="2">
        <v>919000000</v>
      </c>
      <c r="H84" t="s">
        <v>12</v>
      </c>
      <c r="I84" s="2">
        <v>8476000000</v>
      </c>
      <c r="J84" t="s">
        <v>47</v>
      </c>
      <c r="K84" t="s">
        <v>50</v>
      </c>
      <c r="L84">
        <f t="shared" si="1"/>
        <v>0.3985924685717529</v>
      </c>
    </row>
    <row r="85" spans="1:12" x14ac:dyDescent="0.2">
      <c r="A85">
        <v>87</v>
      </c>
      <c r="B85" t="s">
        <v>62</v>
      </c>
      <c r="C85" t="s">
        <v>17</v>
      </c>
      <c r="D85" s="1">
        <v>42369</v>
      </c>
      <c r="E85" s="2">
        <v>35653000000</v>
      </c>
      <c r="F85" s="2">
        <v>22837000000</v>
      </c>
      <c r="G85" s="2">
        <v>761000000</v>
      </c>
      <c r="H85" t="s">
        <v>12</v>
      </c>
      <c r="I85" s="2">
        <v>8445000000</v>
      </c>
      <c r="J85" t="s">
        <v>47</v>
      </c>
      <c r="K85" t="s">
        <v>50</v>
      </c>
      <c r="L85">
        <f t="shared" si="1"/>
        <v>0.35946484166830284</v>
      </c>
    </row>
    <row r="86" spans="1:12" x14ac:dyDescent="0.2">
      <c r="A86">
        <v>88</v>
      </c>
      <c r="B86" t="s">
        <v>63</v>
      </c>
      <c r="C86" t="s">
        <v>11</v>
      </c>
      <c r="D86" s="1">
        <v>41639</v>
      </c>
      <c r="E86" s="2">
        <v>2069600000</v>
      </c>
      <c r="F86" s="2">
        <v>1208100000</v>
      </c>
      <c r="G86" s="2">
        <v>483100000</v>
      </c>
      <c r="H86" t="s">
        <v>12</v>
      </c>
      <c r="I86" t="s">
        <v>12</v>
      </c>
      <c r="J86" t="s">
        <v>13</v>
      </c>
      <c r="K86" t="s">
        <v>64</v>
      </c>
      <c r="L86">
        <f t="shared" si="1"/>
        <v>0.41626401236954003</v>
      </c>
    </row>
    <row r="87" spans="1:12" x14ac:dyDescent="0.2">
      <c r="A87">
        <v>89</v>
      </c>
      <c r="B87" t="s">
        <v>63</v>
      </c>
      <c r="C87" t="s">
        <v>15</v>
      </c>
      <c r="D87" s="1">
        <v>42004</v>
      </c>
      <c r="E87" s="2">
        <v>2118300000</v>
      </c>
      <c r="F87" s="2">
        <v>1264600000</v>
      </c>
      <c r="G87" s="2">
        <v>527400000</v>
      </c>
      <c r="H87" t="s">
        <v>12</v>
      </c>
      <c r="I87" t="s">
        <v>12</v>
      </c>
      <c r="J87" t="s">
        <v>13</v>
      </c>
      <c r="K87" t="s">
        <v>64</v>
      </c>
      <c r="L87">
        <f t="shared" si="1"/>
        <v>0.40301184912429777</v>
      </c>
    </row>
    <row r="88" spans="1:12" x14ac:dyDescent="0.2">
      <c r="A88">
        <v>90</v>
      </c>
      <c r="B88" t="s">
        <v>63</v>
      </c>
      <c r="C88" t="s">
        <v>16</v>
      </c>
      <c r="D88" s="1">
        <v>42369</v>
      </c>
      <c r="E88" s="2">
        <v>2068100000</v>
      </c>
      <c r="F88" s="2">
        <v>1199000000</v>
      </c>
      <c r="G88" s="2">
        <v>510500000</v>
      </c>
      <c r="H88" t="s">
        <v>12</v>
      </c>
      <c r="I88" t="s">
        <v>12</v>
      </c>
      <c r="J88" t="s">
        <v>13</v>
      </c>
      <c r="K88" t="s">
        <v>64</v>
      </c>
      <c r="L88">
        <f t="shared" si="1"/>
        <v>0.42024080073497416</v>
      </c>
    </row>
    <row r="89" spans="1:12" x14ac:dyDescent="0.2">
      <c r="A89">
        <v>91</v>
      </c>
      <c r="B89" t="s">
        <v>63</v>
      </c>
      <c r="C89" t="s">
        <v>17</v>
      </c>
      <c r="D89" s="1">
        <v>42735</v>
      </c>
      <c r="E89" s="2">
        <v>2238000000</v>
      </c>
      <c r="F89" s="2">
        <v>1252700000</v>
      </c>
      <c r="G89" s="2">
        <v>559800000</v>
      </c>
      <c r="H89" t="s">
        <v>12</v>
      </c>
      <c r="I89" t="s">
        <v>12</v>
      </c>
      <c r="J89" t="s">
        <v>13</v>
      </c>
      <c r="K89" t="s">
        <v>64</v>
      </c>
      <c r="L89">
        <f t="shared" si="1"/>
        <v>0.4402591599642538</v>
      </c>
    </row>
    <row r="90" spans="1:12" x14ac:dyDescent="0.2">
      <c r="A90">
        <v>92</v>
      </c>
      <c r="B90" t="s">
        <v>65</v>
      </c>
      <c r="C90" t="s">
        <v>11</v>
      </c>
      <c r="D90" s="1">
        <v>41639</v>
      </c>
      <c r="E90" s="2">
        <v>1551346000</v>
      </c>
      <c r="F90" s="2">
        <v>177556000</v>
      </c>
      <c r="G90" s="2">
        <v>493726000</v>
      </c>
      <c r="H90" s="2">
        <v>317093000</v>
      </c>
      <c r="I90" s="2">
        <v>417000</v>
      </c>
      <c r="J90" t="s">
        <v>25</v>
      </c>
      <c r="K90" t="s">
        <v>66</v>
      </c>
      <c r="L90">
        <f t="shared" si="1"/>
        <v>0.88554713132982588</v>
      </c>
    </row>
    <row r="91" spans="1:12" x14ac:dyDescent="0.2">
      <c r="A91">
        <v>93</v>
      </c>
      <c r="B91" t="s">
        <v>65</v>
      </c>
      <c r="C91" t="s">
        <v>15</v>
      </c>
      <c r="D91" s="1">
        <v>42004</v>
      </c>
      <c r="E91" s="2">
        <v>2234000000</v>
      </c>
      <c r="F91" s="2">
        <v>174000000</v>
      </c>
      <c r="G91" s="2">
        <v>650000000</v>
      </c>
      <c r="H91" s="2">
        <v>514000000</v>
      </c>
      <c r="I91" t="s">
        <v>12</v>
      </c>
      <c r="J91" t="s">
        <v>25</v>
      </c>
      <c r="K91" t="s">
        <v>66</v>
      </c>
      <c r="L91">
        <f t="shared" si="1"/>
        <v>0.92211280214861235</v>
      </c>
    </row>
    <row r="92" spans="1:12" x14ac:dyDescent="0.2">
      <c r="A92">
        <v>94</v>
      </c>
      <c r="B92" t="s">
        <v>65</v>
      </c>
      <c r="C92" t="s">
        <v>16</v>
      </c>
      <c r="D92" s="1">
        <v>42369</v>
      </c>
      <c r="E92" s="2">
        <v>2604000000</v>
      </c>
      <c r="F92" s="2">
        <v>233000000</v>
      </c>
      <c r="G92" s="2">
        <v>927000000</v>
      </c>
      <c r="H92" s="2">
        <v>709000000</v>
      </c>
      <c r="I92" s="2">
        <v>117000000</v>
      </c>
      <c r="J92" t="s">
        <v>25</v>
      </c>
      <c r="K92" t="s">
        <v>66</v>
      </c>
      <c r="L92">
        <f t="shared" si="1"/>
        <v>0.91052227342549918</v>
      </c>
    </row>
    <row r="93" spans="1:12" x14ac:dyDescent="0.2">
      <c r="A93">
        <v>95</v>
      </c>
      <c r="B93" t="s">
        <v>65</v>
      </c>
      <c r="C93" t="s">
        <v>17</v>
      </c>
      <c r="D93" s="1">
        <v>42735</v>
      </c>
      <c r="E93" s="2">
        <v>3084000000</v>
      </c>
      <c r="F93" s="2">
        <v>258000000</v>
      </c>
      <c r="G93" s="2">
        <v>990000000</v>
      </c>
      <c r="H93" s="2">
        <v>757000000</v>
      </c>
      <c r="I93" s="2">
        <v>322000000</v>
      </c>
      <c r="J93" t="s">
        <v>25</v>
      </c>
      <c r="K93" t="s">
        <v>66</v>
      </c>
      <c r="L93">
        <f t="shared" si="1"/>
        <v>0.91634241245136183</v>
      </c>
    </row>
    <row r="94" spans="1:12" x14ac:dyDescent="0.2">
      <c r="A94">
        <v>96</v>
      </c>
      <c r="B94" t="s">
        <v>67</v>
      </c>
      <c r="C94" t="s">
        <v>11</v>
      </c>
      <c r="D94" s="1">
        <v>41574</v>
      </c>
      <c r="E94" s="2">
        <v>7509000000</v>
      </c>
      <c r="F94" s="2">
        <v>4518000000</v>
      </c>
      <c r="G94" s="2">
        <v>898000000</v>
      </c>
      <c r="H94" s="2">
        <v>1320000000</v>
      </c>
      <c r="I94" t="s">
        <v>12</v>
      </c>
      <c r="J94" t="s">
        <v>22</v>
      </c>
      <c r="K94" t="s">
        <v>68</v>
      </c>
      <c r="L94">
        <f t="shared" si="1"/>
        <v>0.39832201358369956</v>
      </c>
    </row>
    <row r="95" spans="1:12" x14ac:dyDescent="0.2">
      <c r="A95">
        <v>97</v>
      </c>
      <c r="B95" t="s">
        <v>67</v>
      </c>
      <c r="C95" t="s">
        <v>15</v>
      </c>
      <c r="D95" s="1">
        <v>41938</v>
      </c>
      <c r="E95" s="2">
        <v>9072000000</v>
      </c>
      <c r="F95" s="2">
        <v>5229000000</v>
      </c>
      <c r="G95" s="2">
        <v>895000000</v>
      </c>
      <c r="H95" s="2">
        <v>1428000000</v>
      </c>
      <c r="I95" t="s">
        <v>12</v>
      </c>
      <c r="J95" t="s">
        <v>22</v>
      </c>
      <c r="K95" t="s">
        <v>68</v>
      </c>
      <c r="L95">
        <f t="shared" si="1"/>
        <v>0.42361111111111116</v>
      </c>
    </row>
    <row r="96" spans="1:12" x14ac:dyDescent="0.2">
      <c r="A96">
        <v>98</v>
      </c>
      <c r="B96" t="s">
        <v>67</v>
      </c>
      <c r="C96" t="s">
        <v>16</v>
      </c>
      <c r="D96" s="1">
        <v>42302</v>
      </c>
      <c r="E96" s="2">
        <v>9659000000</v>
      </c>
      <c r="F96" s="2">
        <v>5707000000</v>
      </c>
      <c r="G96" s="2">
        <v>808000000</v>
      </c>
      <c r="H96" s="2">
        <v>1451000000</v>
      </c>
      <c r="I96" t="s">
        <v>12</v>
      </c>
      <c r="J96" t="s">
        <v>22</v>
      </c>
      <c r="K96" t="s">
        <v>68</v>
      </c>
      <c r="L96">
        <f t="shared" si="1"/>
        <v>0.40915208613728127</v>
      </c>
    </row>
    <row r="97" spans="1:12" x14ac:dyDescent="0.2">
      <c r="A97">
        <v>99</v>
      </c>
      <c r="B97" t="s">
        <v>67</v>
      </c>
      <c r="C97" t="s">
        <v>17</v>
      </c>
      <c r="D97" s="1">
        <v>42673</v>
      </c>
      <c r="E97" s="2">
        <v>10825000000</v>
      </c>
      <c r="F97" s="2">
        <v>6314000000</v>
      </c>
      <c r="G97" s="2">
        <v>819000000</v>
      </c>
      <c r="H97" s="2">
        <v>1540000000</v>
      </c>
      <c r="I97" t="s">
        <v>12</v>
      </c>
      <c r="J97" t="s">
        <v>22</v>
      </c>
      <c r="K97" t="s">
        <v>68</v>
      </c>
      <c r="L97">
        <f t="shared" si="1"/>
        <v>0.41672055427251731</v>
      </c>
    </row>
    <row r="98" spans="1:12" x14ac:dyDescent="0.2">
      <c r="A98">
        <v>100</v>
      </c>
      <c r="B98" t="s">
        <v>69</v>
      </c>
      <c r="C98" t="s">
        <v>11</v>
      </c>
      <c r="D98" s="1">
        <v>41274</v>
      </c>
      <c r="E98" s="2">
        <v>3334213000</v>
      </c>
      <c r="F98" s="2">
        <v>2154132000</v>
      </c>
      <c r="G98" s="2">
        <v>380532000</v>
      </c>
      <c r="H98" t="s">
        <v>12</v>
      </c>
      <c r="I98" s="2">
        <v>53677000</v>
      </c>
      <c r="J98" t="s">
        <v>13</v>
      </c>
      <c r="K98" t="s">
        <v>70</v>
      </c>
      <c r="L98">
        <f t="shared" si="1"/>
        <v>0.35393089763611385</v>
      </c>
    </row>
    <row r="99" spans="1:12" x14ac:dyDescent="0.2">
      <c r="A99">
        <v>101</v>
      </c>
      <c r="B99" t="s">
        <v>69</v>
      </c>
      <c r="C99" t="s">
        <v>15</v>
      </c>
      <c r="D99" s="1">
        <v>41639</v>
      </c>
      <c r="E99" s="2">
        <v>3594136000</v>
      </c>
      <c r="F99" s="2">
        <v>2323642000</v>
      </c>
      <c r="G99" s="2">
        <v>398177000</v>
      </c>
      <c r="H99" t="s">
        <v>12</v>
      </c>
      <c r="I99" s="2">
        <v>57238000</v>
      </c>
      <c r="J99" t="s">
        <v>13</v>
      </c>
      <c r="K99" t="s">
        <v>70</v>
      </c>
      <c r="L99">
        <f t="shared" si="1"/>
        <v>0.35349079723193555</v>
      </c>
    </row>
    <row r="100" spans="1:12" x14ac:dyDescent="0.2">
      <c r="A100">
        <v>102</v>
      </c>
      <c r="B100" t="s">
        <v>69</v>
      </c>
      <c r="C100" t="s">
        <v>16</v>
      </c>
      <c r="D100" s="1">
        <v>42004</v>
      </c>
      <c r="E100" s="2">
        <v>4021964000</v>
      </c>
      <c r="F100" s="2">
        <v>2597017000</v>
      </c>
      <c r="G100" s="2">
        <v>462637000</v>
      </c>
      <c r="H100" t="s">
        <v>12</v>
      </c>
      <c r="I100" s="2">
        <v>63724000</v>
      </c>
      <c r="J100" t="s">
        <v>13</v>
      </c>
      <c r="K100" t="s">
        <v>70</v>
      </c>
      <c r="L100">
        <f t="shared" si="1"/>
        <v>0.35429133627252751</v>
      </c>
    </row>
    <row r="101" spans="1:12" x14ac:dyDescent="0.2">
      <c r="A101">
        <v>103</v>
      </c>
      <c r="B101" t="s">
        <v>69</v>
      </c>
      <c r="C101" t="s">
        <v>17</v>
      </c>
      <c r="D101" s="1">
        <v>42369</v>
      </c>
      <c r="E101" s="2">
        <v>3974295000</v>
      </c>
      <c r="F101" s="2">
        <v>2549280000</v>
      </c>
      <c r="G101" s="2">
        <v>448592000</v>
      </c>
      <c r="H101" t="s">
        <v>12</v>
      </c>
      <c r="I101" s="2">
        <v>68707000</v>
      </c>
      <c r="J101" t="s">
        <v>13</v>
      </c>
      <c r="K101" t="s">
        <v>70</v>
      </c>
      <c r="L101">
        <f t="shared" si="1"/>
        <v>0.35855793291640403</v>
      </c>
    </row>
    <row r="102" spans="1:12" x14ac:dyDescent="0.2">
      <c r="A102">
        <v>108</v>
      </c>
      <c r="B102" t="s">
        <v>71</v>
      </c>
      <c r="C102" t="s">
        <v>11</v>
      </c>
      <c r="D102" s="1">
        <v>41639</v>
      </c>
      <c r="E102" s="2">
        <v>18676000000</v>
      </c>
      <c r="F102" s="2">
        <v>3346000000</v>
      </c>
      <c r="G102" s="2">
        <v>5380000000</v>
      </c>
      <c r="H102" s="2">
        <v>4083000000</v>
      </c>
      <c r="I102" t="s">
        <v>12</v>
      </c>
      <c r="J102" t="s">
        <v>25</v>
      </c>
      <c r="K102" t="s">
        <v>66</v>
      </c>
      <c r="L102">
        <f t="shared" si="1"/>
        <v>0.82083958020989511</v>
      </c>
    </row>
    <row r="103" spans="1:12" x14ac:dyDescent="0.2">
      <c r="A103">
        <v>109</v>
      </c>
      <c r="B103" t="s">
        <v>71</v>
      </c>
      <c r="C103" t="s">
        <v>15</v>
      </c>
      <c r="D103" s="1">
        <v>42004</v>
      </c>
      <c r="E103" s="2">
        <v>20063000000</v>
      </c>
      <c r="F103" s="2">
        <v>4422000000</v>
      </c>
      <c r="G103" s="2">
        <v>5153000000</v>
      </c>
      <c r="H103" s="2">
        <v>4297000000</v>
      </c>
      <c r="I103" t="s">
        <v>12</v>
      </c>
      <c r="J103" t="s">
        <v>25</v>
      </c>
      <c r="K103" t="s">
        <v>66</v>
      </c>
      <c r="L103">
        <f t="shared" si="1"/>
        <v>0.77959427802422376</v>
      </c>
    </row>
    <row r="104" spans="1:12" x14ac:dyDescent="0.2">
      <c r="A104">
        <v>110</v>
      </c>
      <c r="B104" t="s">
        <v>71</v>
      </c>
      <c r="C104" t="s">
        <v>16</v>
      </c>
      <c r="D104" s="1">
        <v>42369</v>
      </c>
      <c r="E104" s="2">
        <v>21662000000</v>
      </c>
      <c r="F104" s="2">
        <v>4227000000</v>
      </c>
      <c r="G104" s="2">
        <v>4895000000</v>
      </c>
      <c r="H104" s="2">
        <v>4070000000</v>
      </c>
      <c r="I104" t="s">
        <v>12</v>
      </c>
      <c r="J104" t="s">
        <v>25</v>
      </c>
      <c r="K104" t="s">
        <v>66</v>
      </c>
      <c r="L104">
        <f t="shared" si="1"/>
        <v>0.80486566337364973</v>
      </c>
    </row>
    <row r="105" spans="1:12" x14ac:dyDescent="0.2">
      <c r="A105">
        <v>111</v>
      </c>
      <c r="B105" t="s">
        <v>71</v>
      </c>
      <c r="C105" t="s">
        <v>17</v>
      </c>
      <c r="D105" s="1">
        <v>42735</v>
      </c>
      <c r="E105" s="2">
        <v>22991000000</v>
      </c>
      <c r="F105" s="2">
        <v>4162000000</v>
      </c>
      <c r="G105" s="2">
        <v>5195000000</v>
      </c>
      <c r="H105" s="2">
        <v>3840000000</v>
      </c>
      <c r="I105" t="s">
        <v>12</v>
      </c>
      <c r="J105" t="s">
        <v>25</v>
      </c>
      <c r="K105" t="s">
        <v>66</v>
      </c>
      <c r="L105">
        <f t="shared" si="1"/>
        <v>0.81897264146840065</v>
      </c>
    </row>
    <row r="106" spans="1:12" x14ac:dyDescent="0.2">
      <c r="A106">
        <v>112</v>
      </c>
      <c r="B106" t="s">
        <v>72</v>
      </c>
      <c r="C106" t="s">
        <v>11</v>
      </c>
      <c r="D106" s="1">
        <v>41274</v>
      </c>
      <c r="E106" s="2">
        <v>10259000000</v>
      </c>
      <c r="F106" s="2">
        <v>1899000000</v>
      </c>
      <c r="G106" s="2">
        <v>3927000000</v>
      </c>
      <c r="H106" t="s">
        <v>12</v>
      </c>
      <c r="I106" s="2">
        <v>2877000000</v>
      </c>
      <c r="J106" t="s">
        <v>47</v>
      </c>
      <c r="K106" t="s">
        <v>73</v>
      </c>
      <c r="L106">
        <f t="shared" si="1"/>
        <v>0.8148942392046008</v>
      </c>
    </row>
    <row r="107" spans="1:12" x14ac:dyDescent="0.2">
      <c r="A107">
        <v>113</v>
      </c>
      <c r="B107" t="s">
        <v>72</v>
      </c>
      <c r="C107" t="s">
        <v>15</v>
      </c>
      <c r="D107" s="1">
        <v>41639</v>
      </c>
      <c r="E107" s="2">
        <v>11230000000</v>
      </c>
      <c r="F107" s="2">
        <v>1954000000</v>
      </c>
      <c r="G107" s="2">
        <v>3862000000</v>
      </c>
      <c r="H107" t="s">
        <v>12</v>
      </c>
      <c r="I107" s="2">
        <v>3132000000</v>
      </c>
      <c r="J107" t="s">
        <v>47</v>
      </c>
      <c r="K107" t="s">
        <v>73</v>
      </c>
      <c r="L107">
        <f t="shared" si="1"/>
        <v>0.8260017809439002</v>
      </c>
    </row>
    <row r="108" spans="1:12" x14ac:dyDescent="0.2">
      <c r="A108">
        <v>114</v>
      </c>
      <c r="B108" t="s">
        <v>72</v>
      </c>
      <c r="C108" t="s">
        <v>16</v>
      </c>
      <c r="D108" s="1">
        <v>42004</v>
      </c>
      <c r="E108" s="2">
        <v>12296000000</v>
      </c>
      <c r="F108" s="2">
        <v>1982000000</v>
      </c>
      <c r="G108" s="2">
        <v>3808000000</v>
      </c>
      <c r="H108" t="s">
        <v>12</v>
      </c>
      <c r="I108" s="2">
        <v>3603000000</v>
      </c>
      <c r="J108" t="s">
        <v>47</v>
      </c>
      <c r="K108" t="s">
        <v>73</v>
      </c>
      <c r="L108">
        <f t="shared" si="1"/>
        <v>0.83880936890045543</v>
      </c>
    </row>
    <row r="109" spans="1:12" x14ac:dyDescent="0.2">
      <c r="A109">
        <v>115</v>
      </c>
      <c r="B109" t="s">
        <v>72</v>
      </c>
      <c r="C109" t="s">
        <v>17</v>
      </c>
      <c r="D109" s="1">
        <v>42369</v>
      </c>
      <c r="E109" s="2">
        <v>12200000000</v>
      </c>
      <c r="F109" s="2">
        <v>2261000000</v>
      </c>
      <c r="G109" s="2">
        <v>3750000000</v>
      </c>
      <c r="H109" t="s">
        <v>12</v>
      </c>
      <c r="I109" s="2">
        <v>3630000000</v>
      </c>
      <c r="J109" t="s">
        <v>47</v>
      </c>
      <c r="K109" t="s">
        <v>73</v>
      </c>
      <c r="L109">
        <f t="shared" si="1"/>
        <v>0.814672131147541</v>
      </c>
    </row>
    <row r="110" spans="1:12" x14ac:dyDescent="0.2">
      <c r="A110">
        <v>116</v>
      </c>
      <c r="B110" t="s">
        <v>74</v>
      </c>
      <c r="C110" t="s">
        <v>11</v>
      </c>
      <c r="D110" s="1">
        <v>41274</v>
      </c>
      <c r="E110" s="2">
        <v>2875960000</v>
      </c>
      <c r="F110" s="2">
        <v>722479000</v>
      </c>
      <c r="G110" s="2">
        <v>389486000</v>
      </c>
      <c r="H110" t="s">
        <v>12</v>
      </c>
      <c r="I110" s="2">
        <v>644276000</v>
      </c>
      <c r="J110" t="s">
        <v>52</v>
      </c>
      <c r="K110" t="s">
        <v>75</v>
      </c>
      <c r="L110">
        <f t="shared" si="1"/>
        <v>0.74878683987259909</v>
      </c>
    </row>
    <row r="111" spans="1:12" x14ac:dyDescent="0.2">
      <c r="A111">
        <v>117</v>
      </c>
      <c r="B111" t="s">
        <v>74</v>
      </c>
      <c r="C111" t="s">
        <v>15</v>
      </c>
      <c r="D111" s="1">
        <v>41639</v>
      </c>
      <c r="E111" s="2">
        <v>3361407000</v>
      </c>
      <c r="F111" s="2">
        <v>859873000</v>
      </c>
      <c r="G111" s="2">
        <v>487084000</v>
      </c>
      <c r="H111" t="s">
        <v>12</v>
      </c>
      <c r="I111" s="2">
        <v>800145000</v>
      </c>
      <c r="J111" t="s">
        <v>52</v>
      </c>
      <c r="K111" t="s">
        <v>75</v>
      </c>
      <c r="L111">
        <f t="shared" si="1"/>
        <v>0.74419253604219904</v>
      </c>
    </row>
    <row r="112" spans="1:12" x14ac:dyDescent="0.2">
      <c r="A112">
        <v>118</v>
      </c>
      <c r="B112" t="s">
        <v>74</v>
      </c>
      <c r="C112" t="s">
        <v>16</v>
      </c>
      <c r="D112" s="1">
        <v>42004</v>
      </c>
      <c r="E112" s="2">
        <v>4100048000</v>
      </c>
      <c r="F112" s="2">
        <v>1094265000</v>
      </c>
      <c r="G112" s="2">
        <v>515059000</v>
      </c>
      <c r="H112" t="s">
        <v>12</v>
      </c>
      <c r="I112" s="2">
        <v>1003802000</v>
      </c>
      <c r="J112" t="s">
        <v>52</v>
      </c>
      <c r="K112" t="s">
        <v>75</v>
      </c>
      <c r="L112">
        <f t="shared" si="1"/>
        <v>0.73310922213593599</v>
      </c>
    </row>
    <row r="113" spans="1:12" x14ac:dyDescent="0.2">
      <c r="A113">
        <v>119</v>
      </c>
      <c r="B113" t="s">
        <v>74</v>
      </c>
      <c r="C113" t="s">
        <v>17</v>
      </c>
      <c r="D113" s="1">
        <v>42369</v>
      </c>
      <c r="E113" s="2">
        <v>4771516000</v>
      </c>
      <c r="F113" s="2">
        <v>1308868000</v>
      </c>
      <c r="G113" s="2">
        <v>564531000</v>
      </c>
      <c r="H113" t="s">
        <v>12</v>
      </c>
      <c r="I113" s="2">
        <v>1285328000</v>
      </c>
      <c r="J113" t="s">
        <v>52</v>
      </c>
      <c r="K113" t="s">
        <v>75</v>
      </c>
      <c r="L113">
        <f t="shared" si="1"/>
        <v>0.72569137355926294</v>
      </c>
    </row>
    <row r="114" spans="1:12" x14ac:dyDescent="0.2">
      <c r="A114">
        <v>120</v>
      </c>
      <c r="B114" t="s">
        <v>76</v>
      </c>
      <c r="C114" t="s">
        <v>11</v>
      </c>
      <c r="D114" s="1">
        <v>41639</v>
      </c>
      <c r="E114" s="2">
        <v>74452000000</v>
      </c>
      <c r="F114" s="2">
        <v>54181000000</v>
      </c>
      <c r="G114" s="2">
        <v>19526000000</v>
      </c>
      <c r="H114" t="s">
        <v>12</v>
      </c>
      <c r="I114" t="s">
        <v>12</v>
      </c>
      <c r="J114" t="s">
        <v>19</v>
      </c>
      <c r="K114" t="s">
        <v>77</v>
      </c>
      <c r="L114">
        <f t="shared" si="1"/>
        <v>0.27226938161500025</v>
      </c>
    </row>
    <row r="115" spans="1:12" x14ac:dyDescent="0.2">
      <c r="A115">
        <v>121</v>
      </c>
      <c r="B115" t="s">
        <v>76</v>
      </c>
      <c r="C115" t="s">
        <v>15</v>
      </c>
      <c r="D115" s="1">
        <v>42004</v>
      </c>
      <c r="E115" s="2">
        <v>88988000000</v>
      </c>
      <c r="F115" s="2">
        <v>62752000000</v>
      </c>
      <c r="G115" s="2">
        <v>26058000000</v>
      </c>
      <c r="H115" t="s">
        <v>12</v>
      </c>
      <c r="I115" t="s">
        <v>12</v>
      </c>
      <c r="J115" t="s">
        <v>19</v>
      </c>
      <c r="K115" t="s">
        <v>77</v>
      </c>
      <c r="L115">
        <f t="shared" si="1"/>
        <v>0.29482626871038786</v>
      </c>
    </row>
    <row r="116" spans="1:12" x14ac:dyDescent="0.2">
      <c r="A116">
        <v>122</v>
      </c>
      <c r="B116" t="s">
        <v>76</v>
      </c>
      <c r="C116" t="s">
        <v>16</v>
      </c>
      <c r="D116" s="1">
        <v>42369</v>
      </c>
      <c r="E116" s="2">
        <v>107006000000</v>
      </c>
      <c r="F116" s="2">
        <v>71651000000</v>
      </c>
      <c r="G116" s="2">
        <v>33122000000</v>
      </c>
      <c r="H116" t="s">
        <v>12</v>
      </c>
      <c r="I116" t="s">
        <v>12</v>
      </c>
      <c r="J116" t="s">
        <v>19</v>
      </c>
      <c r="K116" t="s">
        <v>77</v>
      </c>
      <c r="L116">
        <f t="shared" si="1"/>
        <v>0.33040203353083009</v>
      </c>
    </row>
    <row r="117" spans="1:12" x14ac:dyDescent="0.2">
      <c r="A117">
        <v>123</v>
      </c>
      <c r="B117" t="s">
        <v>76</v>
      </c>
      <c r="C117" t="s">
        <v>17</v>
      </c>
      <c r="D117" s="1">
        <v>42735</v>
      </c>
      <c r="E117" s="2">
        <v>135987000000</v>
      </c>
      <c r="F117" s="2">
        <v>88265000000</v>
      </c>
      <c r="G117" s="2">
        <v>43536000000</v>
      </c>
      <c r="H117" t="s">
        <v>12</v>
      </c>
      <c r="I117" t="s">
        <v>12</v>
      </c>
      <c r="J117" t="s">
        <v>19</v>
      </c>
      <c r="K117" t="s">
        <v>77</v>
      </c>
      <c r="L117">
        <f t="shared" si="1"/>
        <v>0.35093060366064399</v>
      </c>
    </row>
    <row r="118" spans="1:12" x14ac:dyDescent="0.2">
      <c r="A118">
        <v>124</v>
      </c>
      <c r="B118" t="s">
        <v>78</v>
      </c>
      <c r="C118" t="s">
        <v>11</v>
      </c>
      <c r="D118" s="1">
        <v>41639</v>
      </c>
      <c r="E118" s="2">
        <v>17517600000</v>
      </c>
      <c r="F118" s="2">
        <v>14757700000</v>
      </c>
      <c r="G118" s="2">
        <v>1924300000</v>
      </c>
      <c r="H118" t="s">
        <v>12</v>
      </c>
      <c r="I118" s="2">
        <v>95300000</v>
      </c>
      <c r="J118" t="s">
        <v>19</v>
      </c>
      <c r="K118" t="s">
        <v>79</v>
      </c>
      <c r="L118">
        <f t="shared" si="1"/>
        <v>0.15755012102114441</v>
      </c>
    </row>
    <row r="119" spans="1:12" x14ac:dyDescent="0.2">
      <c r="A119">
        <v>125</v>
      </c>
      <c r="B119" t="s">
        <v>78</v>
      </c>
      <c r="C119" t="s">
        <v>15</v>
      </c>
      <c r="D119" s="1">
        <v>42004</v>
      </c>
      <c r="E119" s="2">
        <v>19108800000</v>
      </c>
      <c r="F119" s="2">
        <v>16120100000</v>
      </c>
      <c r="G119" s="2">
        <v>2061000000</v>
      </c>
      <c r="H119" t="s">
        <v>12</v>
      </c>
      <c r="I119" s="2">
        <v>106900000</v>
      </c>
      <c r="J119" t="s">
        <v>19</v>
      </c>
      <c r="K119" t="s">
        <v>79</v>
      </c>
      <c r="L119">
        <f t="shared" si="1"/>
        <v>0.15640437913422089</v>
      </c>
    </row>
    <row r="120" spans="1:12" x14ac:dyDescent="0.2">
      <c r="A120">
        <v>126</v>
      </c>
      <c r="B120" t="s">
        <v>78</v>
      </c>
      <c r="C120" t="s">
        <v>16</v>
      </c>
      <c r="D120" s="1">
        <v>42369</v>
      </c>
      <c r="E120" s="2">
        <v>20862000000</v>
      </c>
      <c r="F120" s="2">
        <v>17600500000</v>
      </c>
      <c r="G120" s="2">
        <v>2245600000</v>
      </c>
      <c r="H120" t="s">
        <v>12</v>
      </c>
      <c r="I120" s="2">
        <v>127400000</v>
      </c>
      <c r="J120" t="s">
        <v>19</v>
      </c>
      <c r="K120" t="s">
        <v>79</v>
      </c>
      <c r="L120">
        <f t="shared" si="1"/>
        <v>0.15633688045249738</v>
      </c>
    </row>
    <row r="121" spans="1:12" x14ac:dyDescent="0.2">
      <c r="A121">
        <v>127</v>
      </c>
      <c r="B121" t="s">
        <v>78</v>
      </c>
      <c r="C121" t="s">
        <v>17</v>
      </c>
      <c r="D121" s="1">
        <v>42735</v>
      </c>
      <c r="E121" s="2">
        <v>21609000000</v>
      </c>
      <c r="F121" s="2">
        <v>18295800000</v>
      </c>
      <c r="G121" s="2">
        <v>2280300000</v>
      </c>
      <c r="H121" t="s">
        <v>12</v>
      </c>
      <c r="I121" s="2">
        <v>143400000</v>
      </c>
      <c r="J121" t="s">
        <v>19</v>
      </c>
      <c r="K121" t="s">
        <v>79</v>
      </c>
      <c r="L121">
        <f t="shared" si="1"/>
        <v>0.15332500347077604</v>
      </c>
    </row>
    <row r="122" spans="1:12" x14ac:dyDescent="0.2">
      <c r="A122">
        <v>128</v>
      </c>
      <c r="B122" t="s">
        <v>80</v>
      </c>
      <c r="C122" t="s">
        <v>11</v>
      </c>
      <c r="D122" s="1">
        <v>41274</v>
      </c>
      <c r="E122" s="2">
        <v>61497200000</v>
      </c>
      <c r="F122" s="2">
        <v>48213600000</v>
      </c>
      <c r="G122" s="2">
        <v>8680500000</v>
      </c>
      <c r="H122" t="s">
        <v>12</v>
      </c>
      <c r="I122" s="2">
        <v>233000000</v>
      </c>
      <c r="J122" t="s">
        <v>25</v>
      </c>
      <c r="K122" t="s">
        <v>81</v>
      </c>
      <c r="L122">
        <f t="shared" si="1"/>
        <v>0.21600333023292118</v>
      </c>
    </row>
    <row r="123" spans="1:12" x14ac:dyDescent="0.2">
      <c r="A123">
        <v>129</v>
      </c>
      <c r="B123" t="s">
        <v>80</v>
      </c>
      <c r="C123" t="s">
        <v>15</v>
      </c>
      <c r="D123" s="1">
        <v>41639</v>
      </c>
      <c r="E123" s="2">
        <v>71023500000</v>
      </c>
      <c r="F123" s="2">
        <v>56237100000</v>
      </c>
      <c r="G123" s="2">
        <v>9952900000</v>
      </c>
      <c r="H123" t="s">
        <v>12</v>
      </c>
      <c r="I123" s="2">
        <v>245300000</v>
      </c>
      <c r="J123" t="s">
        <v>25</v>
      </c>
      <c r="K123" t="s">
        <v>81</v>
      </c>
      <c r="L123">
        <f t="shared" si="1"/>
        <v>0.20819024689011378</v>
      </c>
    </row>
    <row r="124" spans="1:12" x14ac:dyDescent="0.2">
      <c r="A124">
        <v>130</v>
      </c>
      <c r="B124" t="s">
        <v>80</v>
      </c>
      <c r="C124" t="s">
        <v>16</v>
      </c>
      <c r="D124" s="1">
        <v>42004</v>
      </c>
      <c r="E124" s="2">
        <v>73874100000</v>
      </c>
      <c r="F124" s="2">
        <v>56854900000</v>
      </c>
      <c r="G124" s="2">
        <v>11748400000</v>
      </c>
      <c r="H124" t="s">
        <v>12</v>
      </c>
      <c r="I124" s="2">
        <v>220900000</v>
      </c>
      <c r="J124" t="s">
        <v>25</v>
      </c>
      <c r="K124" t="s">
        <v>81</v>
      </c>
      <c r="L124">
        <f t="shared" si="1"/>
        <v>0.23038114846746016</v>
      </c>
    </row>
    <row r="125" spans="1:12" x14ac:dyDescent="0.2">
      <c r="A125">
        <v>131</v>
      </c>
      <c r="B125" t="s">
        <v>80</v>
      </c>
      <c r="C125" t="s">
        <v>17</v>
      </c>
      <c r="D125" s="1">
        <v>42369</v>
      </c>
      <c r="E125" s="2">
        <v>79156500000</v>
      </c>
      <c r="F125" s="2">
        <v>61116900000</v>
      </c>
      <c r="G125" s="2">
        <v>12534800000</v>
      </c>
      <c r="H125" t="s">
        <v>12</v>
      </c>
      <c r="I125" s="2">
        <v>230100000</v>
      </c>
      <c r="J125" t="s">
        <v>25</v>
      </c>
      <c r="K125" t="s">
        <v>81</v>
      </c>
      <c r="L125">
        <f t="shared" si="1"/>
        <v>0.22789789846696107</v>
      </c>
    </row>
    <row r="126" spans="1:12" x14ac:dyDescent="0.2">
      <c r="A126">
        <v>136</v>
      </c>
      <c r="B126" t="s">
        <v>82</v>
      </c>
      <c r="C126" t="s">
        <v>11</v>
      </c>
      <c r="D126" s="1">
        <v>41274</v>
      </c>
      <c r="E126" s="2">
        <v>16428000000</v>
      </c>
      <c r="F126" s="2">
        <v>3079000000</v>
      </c>
      <c r="G126" s="2">
        <v>1333000000</v>
      </c>
      <c r="H126" t="s">
        <v>12</v>
      </c>
      <c r="I126" s="2">
        <v>6881000000</v>
      </c>
      <c r="J126" t="s">
        <v>83</v>
      </c>
      <c r="K126" t="s">
        <v>84</v>
      </c>
      <c r="L126">
        <f t="shared" si="1"/>
        <v>0.81257608960311667</v>
      </c>
    </row>
    <row r="127" spans="1:12" x14ac:dyDescent="0.2">
      <c r="A127">
        <v>137</v>
      </c>
      <c r="B127" t="s">
        <v>82</v>
      </c>
      <c r="C127" t="s">
        <v>15</v>
      </c>
      <c r="D127" s="1">
        <v>41639</v>
      </c>
      <c r="E127" s="2">
        <v>14771000000</v>
      </c>
      <c r="F127" s="2">
        <v>2938000000</v>
      </c>
      <c r="G127" s="2">
        <v>1286000000</v>
      </c>
      <c r="H127" t="s">
        <v>12</v>
      </c>
      <c r="I127" s="2">
        <v>5866000000</v>
      </c>
      <c r="J127" t="s">
        <v>83</v>
      </c>
      <c r="K127" t="s">
        <v>84</v>
      </c>
      <c r="L127">
        <f t="shared" si="1"/>
        <v>0.80109674361925398</v>
      </c>
    </row>
    <row r="128" spans="1:12" x14ac:dyDescent="0.2">
      <c r="A128">
        <v>138</v>
      </c>
      <c r="B128" t="s">
        <v>82</v>
      </c>
      <c r="C128" t="s">
        <v>16</v>
      </c>
      <c r="D128" s="1">
        <v>42004</v>
      </c>
      <c r="E128" s="2">
        <v>12691000000</v>
      </c>
      <c r="F128" s="2">
        <v>2511000000</v>
      </c>
      <c r="G128" s="2">
        <v>1095000000</v>
      </c>
      <c r="H128" t="s">
        <v>12</v>
      </c>
      <c r="I128" s="2">
        <v>9720000000</v>
      </c>
      <c r="J128" t="s">
        <v>83</v>
      </c>
      <c r="K128" t="s">
        <v>84</v>
      </c>
      <c r="L128">
        <f t="shared" si="1"/>
        <v>0.80214325112284302</v>
      </c>
    </row>
    <row r="129" spans="1:12" x14ac:dyDescent="0.2">
      <c r="A129">
        <v>139</v>
      </c>
      <c r="B129" t="s">
        <v>82</v>
      </c>
      <c r="C129" t="s">
        <v>17</v>
      </c>
      <c r="D129" s="1">
        <v>42369</v>
      </c>
      <c r="E129" s="2">
        <v>6383000000</v>
      </c>
      <c r="F129" s="2">
        <v>2065000000</v>
      </c>
      <c r="G129" s="2">
        <v>791000000</v>
      </c>
      <c r="H129" t="s">
        <v>12</v>
      </c>
      <c r="I129" s="2">
        <v>29372000000</v>
      </c>
      <c r="J129" t="s">
        <v>83</v>
      </c>
      <c r="K129" t="s">
        <v>84</v>
      </c>
      <c r="L129">
        <f t="shared" si="1"/>
        <v>0.67648441171862761</v>
      </c>
    </row>
    <row r="130" spans="1:12" x14ac:dyDescent="0.2">
      <c r="A130">
        <v>140</v>
      </c>
      <c r="B130" t="s">
        <v>85</v>
      </c>
      <c r="C130" t="s">
        <v>11</v>
      </c>
      <c r="D130" s="1">
        <v>41639</v>
      </c>
      <c r="E130" s="2">
        <v>14581000000</v>
      </c>
      <c r="F130" s="2">
        <v>2942000000</v>
      </c>
      <c r="G130" s="2">
        <v>2256000000</v>
      </c>
      <c r="H130" t="s">
        <v>12</v>
      </c>
      <c r="I130" s="2">
        <v>3927000000</v>
      </c>
      <c r="J130" t="s">
        <v>83</v>
      </c>
      <c r="K130" t="s">
        <v>84</v>
      </c>
      <c r="L130">
        <f t="shared" si="1"/>
        <v>0.79823057403470266</v>
      </c>
    </row>
    <row r="131" spans="1:12" x14ac:dyDescent="0.2">
      <c r="A131">
        <v>141</v>
      </c>
      <c r="B131" t="s">
        <v>85</v>
      </c>
      <c r="C131" t="s">
        <v>15</v>
      </c>
      <c r="D131" s="1">
        <v>42004</v>
      </c>
      <c r="E131" s="2">
        <v>18470000000</v>
      </c>
      <c r="F131" s="2">
        <v>3317000000</v>
      </c>
      <c r="G131" s="2">
        <v>2725000000</v>
      </c>
      <c r="H131" t="s">
        <v>12</v>
      </c>
      <c r="I131" s="2">
        <v>4550000000</v>
      </c>
      <c r="J131" t="s">
        <v>83</v>
      </c>
      <c r="K131" t="s">
        <v>84</v>
      </c>
      <c r="L131">
        <f t="shared" ref="L131:L194" si="2">1-F131/E131</f>
        <v>0.8204114780725501</v>
      </c>
    </row>
    <row r="132" spans="1:12" x14ac:dyDescent="0.2">
      <c r="A132">
        <v>142</v>
      </c>
      <c r="B132" t="s">
        <v>85</v>
      </c>
      <c r="C132" t="s">
        <v>16</v>
      </c>
      <c r="D132" s="1">
        <v>42369</v>
      </c>
      <c r="E132" s="2">
        <v>8698000000</v>
      </c>
      <c r="F132" s="2">
        <v>3185000000</v>
      </c>
      <c r="G132" s="2">
        <v>2000000000</v>
      </c>
      <c r="H132" t="s">
        <v>12</v>
      </c>
      <c r="I132" s="2">
        <v>4603000000</v>
      </c>
      <c r="J132" t="s">
        <v>83</v>
      </c>
      <c r="K132" t="s">
        <v>84</v>
      </c>
      <c r="L132">
        <f t="shared" si="2"/>
        <v>0.63382386755575992</v>
      </c>
    </row>
    <row r="133" spans="1:12" x14ac:dyDescent="0.2">
      <c r="A133">
        <v>143</v>
      </c>
      <c r="B133" t="s">
        <v>85</v>
      </c>
      <c r="C133" t="s">
        <v>17</v>
      </c>
      <c r="D133" s="1">
        <v>42735</v>
      </c>
      <c r="E133" s="2">
        <v>7869000000</v>
      </c>
      <c r="F133" s="2">
        <v>2900000000</v>
      </c>
      <c r="G133" s="2">
        <v>2094000000</v>
      </c>
      <c r="H133" t="s">
        <v>12</v>
      </c>
      <c r="I133" s="2">
        <v>4301000000</v>
      </c>
      <c r="J133" t="s">
        <v>83</v>
      </c>
      <c r="K133" t="s">
        <v>84</v>
      </c>
      <c r="L133">
        <f t="shared" si="2"/>
        <v>0.6314652433600203</v>
      </c>
    </row>
    <row r="134" spans="1:12" x14ac:dyDescent="0.2">
      <c r="A134">
        <v>144</v>
      </c>
      <c r="B134" t="s">
        <v>86</v>
      </c>
      <c r="C134" t="s">
        <v>11</v>
      </c>
      <c r="D134" s="1">
        <v>41547</v>
      </c>
      <c r="E134" s="2">
        <v>10180400000</v>
      </c>
      <c r="F134" s="2">
        <v>7472100000</v>
      </c>
      <c r="G134" s="2">
        <v>1018600000</v>
      </c>
      <c r="H134" s="2">
        <v>133700000</v>
      </c>
      <c r="I134" t="s">
        <v>12</v>
      </c>
      <c r="J134" t="s">
        <v>59</v>
      </c>
      <c r="K134" t="s">
        <v>87</v>
      </c>
      <c r="L134">
        <f t="shared" si="2"/>
        <v>0.26603080429059767</v>
      </c>
    </row>
    <row r="135" spans="1:12" x14ac:dyDescent="0.2">
      <c r="A135">
        <v>145</v>
      </c>
      <c r="B135" t="s">
        <v>86</v>
      </c>
      <c r="C135" t="s">
        <v>15</v>
      </c>
      <c r="D135" s="1">
        <v>41912</v>
      </c>
      <c r="E135" s="2">
        <v>10439000000</v>
      </c>
      <c r="F135" s="2">
        <v>7629900000</v>
      </c>
      <c r="G135" s="2">
        <v>1007400000</v>
      </c>
      <c r="H135" s="2">
        <v>139800000</v>
      </c>
      <c r="I135" t="s">
        <v>12</v>
      </c>
      <c r="J135" t="s">
        <v>59</v>
      </c>
      <c r="K135" t="s">
        <v>87</v>
      </c>
      <c r="L135">
        <f t="shared" si="2"/>
        <v>0.26909665676788963</v>
      </c>
    </row>
    <row r="136" spans="1:12" x14ac:dyDescent="0.2">
      <c r="A136">
        <v>146</v>
      </c>
      <c r="B136" t="s">
        <v>86</v>
      </c>
      <c r="C136" t="s">
        <v>16</v>
      </c>
      <c r="D136" s="1">
        <v>42277</v>
      </c>
      <c r="E136" s="2">
        <v>9894900000</v>
      </c>
      <c r="F136" s="2">
        <v>6939000000</v>
      </c>
      <c r="G136" s="2">
        <v>895300000</v>
      </c>
      <c r="H136" s="2">
        <v>137100000</v>
      </c>
      <c r="I136" t="s">
        <v>12</v>
      </c>
      <c r="J136" t="s">
        <v>59</v>
      </c>
      <c r="K136" t="s">
        <v>87</v>
      </c>
      <c r="L136">
        <f t="shared" si="2"/>
        <v>0.29872964860685813</v>
      </c>
    </row>
    <row r="137" spans="1:12" x14ac:dyDescent="0.2">
      <c r="A137">
        <v>147</v>
      </c>
      <c r="B137" t="s">
        <v>86</v>
      </c>
      <c r="C137" t="s">
        <v>17</v>
      </c>
      <c r="D137" s="1">
        <v>42643</v>
      </c>
      <c r="E137" s="2">
        <v>9524400000</v>
      </c>
      <c r="F137" s="2">
        <v>6402700000</v>
      </c>
      <c r="G137" s="2">
        <v>797600000</v>
      </c>
      <c r="H137" s="2">
        <v>132000000</v>
      </c>
      <c r="I137" t="s">
        <v>12</v>
      </c>
      <c r="J137" t="s">
        <v>59</v>
      </c>
      <c r="K137" t="s">
        <v>87</v>
      </c>
      <c r="L137">
        <f t="shared" si="2"/>
        <v>0.32775817899290249</v>
      </c>
    </row>
    <row r="138" spans="1:12" x14ac:dyDescent="0.2">
      <c r="A138">
        <v>148</v>
      </c>
      <c r="B138" t="s">
        <v>88</v>
      </c>
      <c r="C138" t="s">
        <v>11</v>
      </c>
      <c r="D138" s="1">
        <v>41274</v>
      </c>
      <c r="E138" s="2">
        <v>4292100000</v>
      </c>
      <c r="F138" s="2">
        <v>2948900000</v>
      </c>
      <c r="G138" s="2">
        <v>512900000</v>
      </c>
      <c r="H138" t="s">
        <v>12</v>
      </c>
      <c r="I138" t="s">
        <v>12</v>
      </c>
      <c r="J138" t="s">
        <v>22</v>
      </c>
      <c r="K138" t="s">
        <v>89</v>
      </c>
      <c r="L138">
        <f t="shared" si="2"/>
        <v>0.31294704224039516</v>
      </c>
    </row>
    <row r="139" spans="1:12" x14ac:dyDescent="0.2">
      <c r="A139">
        <v>149</v>
      </c>
      <c r="B139" t="s">
        <v>88</v>
      </c>
      <c r="C139" t="s">
        <v>15</v>
      </c>
      <c r="D139" s="1">
        <v>41639</v>
      </c>
      <c r="E139" s="2">
        <v>4614700000</v>
      </c>
      <c r="F139" s="2">
        <v>3163900000</v>
      </c>
      <c r="G139" s="2">
        <v>548000000</v>
      </c>
      <c r="H139" t="s">
        <v>12</v>
      </c>
      <c r="I139" t="s">
        <v>12</v>
      </c>
      <c r="J139" t="s">
        <v>22</v>
      </c>
      <c r="K139" t="s">
        <v>89</v>
      </c>
      <c r="L139">
        <f t="shared" si="2"/>
        <v>0.31438663401737921</v>
      </c>
    </row>
    <row r="140" spans="1:12" x14ac:dyDescent="0.2">
      <c r="A140">
        <v>150</v>
      </c>
      <c r="B140" t="s">
        <v>88</v>
      </c>
      <c r="C140" t="s">
        <v>16</v>
      </c>
      <c r="D140" s="1">
        <v>42004</v>
      </c>
      <c r="E140" s="2">
        <v>5345500000</v>
      </c>
      <c r="F140" s="2">
        <v>3651700000</v>
      </c>
      <c r="G140" s="2">
        <v>645100000</v>
      </c>
      <c r="H140" t="s">
        <v>12</v>
      </c>
      <c r="I140" t="s">
        <v>12</v>
      </c>
      <c r="J140" t="s">
        <v>22</v>
      </c>
      <c r="K140" t="s">
        <v>89</v>
      </c>
      <c r="L140">
        <f t="shared" si="2"/>
        <v>0.31686465251145823</v>
      </c>
    </row>
    <row r="141" spans="1:12" x14ac:dyDescent="0.2">
      <c r="A141">
        <v>151</v>
      </c>
      <c r="B141" t="s">
        <v>88</v>
      </c>
      <c r="C141" t="s">
        <v>17</v>
      </c>
      <c r="D141" s="1">
        <v>42369</v>
      </c>
      <c r="E141" s="2">
        <v>5568700000</v>
      </c>
      <c r="F141" s="2">
        <v>3789200000</v>
      </c>
      <c r="G141" s="2">
        <v>669100000</v>
      </c>
      <c r="H141" t="s">
        <v>12</v>
      </c>
      <c r="I141" t="s">
        <v>12</v>
      </c>
      <c r="J141" t="s">
        <v>22</v>
      </c>
      <c r="K141" t="s">
        <v>89</v>
      </c>
      <c r="L141">
        <f t="shared" si="2"/>
        <v>0.31955393538886989</v>
      </c>
    </row>
    <row r="142" spans="1:12" x14ac:dyDescent="0.2">
      <c r="A142">
        <v>152</v>
      </c>
      <c r="B142" t="s">
        <v>90</v>
      </c>
      <c r="C142" t="s">
        <v>11</v>
      </c>
      <c r="D142" s="1">
        <v>41274</v>
      </c>
      <c r="E142" s="2">
        <v>23700000000</v>
      </c>
      <c r="F142" s="2">
        <v>20401000000</v>
      </c>
      <c r="G142" s="2">
        <v>997000000</v>
      </c>
      <c r="H142" s="2">
        <v>197000000</v>
      </c>
      <c r="I142" s="2">
        <v>1460000000</v>
      </c>
      <c r="J142" t="s">
        <v>13</v>
      </c>
      <c r="K142" t="s">
        <v>91</v>
      </c>
      <c r="L142">
        <f t="shared" si="2"/>
        <v>0.13919831223628687</v>
      </c>
    </row>
    <row r="143" spans="1:12" x14ac:dyDescent="0.2">
      <c r="A143">
        <v>153</v>
      </c>
      <c r="B143" t="s">
        <v>90</v>
      </c>
      <c r="C143" t="s">
        <v>15</v>
      </c>
      <c r="D143" s="1">
        <v>41639</v>
      </c>
      <c r="E143" s="2">
        <v>23032000000</v>
      </c>
      <c r="F143" s="2">
        <v>19286000000</v>
      </c>
      <c r="G143" s="2">
        <v>1008000000</v>
      </c>
      <c r="H143" s="2">
        <v>192000000</v>
      </c>
      <c r="I143" s="2">
        <v>1421000000</v>
      </c>
      <c r="J143" t="s">
        <v>13</v>
      </c>
      <c r="K143" t="s">
        <v>91</v>
      </c>
      <c r="L143">
        <f t="shared" si="2"/>
        <v>0.16264327891629038</v>
      </c>
    </row>
    <row r="144" spans="1:12" x14ac:dyDescent="0.2">
      <c r="A144">
        <v>154</v>
      </c>
      <c r="B144" t="s">
        <v>90</v>
      </c>
      <c r="C144" t="s">
        <v>16</v>
      </c>
      <c r="D144" s="1">
        <v>42004</v>
      </c>
      <c r="E144" s="2">
        <v>23906000000</v>
      </c>
      <c r="F144" s="2">
        <v>19137000000</v>
      </c>
      <c r="G144" s="2">
        <v>995000000</v>
      </c>
      <c r="H144" s="2">
        <v>218000000</v>
      </c>
      <c r="I144" s="2">
        <v>1371000000</v>
      </c>
      <c r="J144" t="s">
        <v>13</v>
      </c>
      <c r="K144" t="s">
        <v>91</v>
      </c>
      <c r="L144">
        <f t="shared" si="2"/>
        <v>0.1994896678658078</v>
      </c>
    </row>
    <row r="145" spans="1:12" x14ac:dyDescent="0.2">
      <c r="A145">
        <v>155</v>
      </c>
      <c r="B145" t="s">
        <v>90</v>
      </c>
      <c r="C145" t="s">
        <v>17</v>
      </c>
      <c r="D145" s="1">
        <v>42369</v>
      </c>
      <c r="E145" s="2">
        <v>22534000000</v>
      </c>
      <c r="F145" s="2">
        <v>18069000000</v>
      </c>
      <c r="G145" s="2">
        <v>979000000</v>
      </c>
      <c r="H145" s="2">
        <v>238000000</v>
      </c>
      <c r="I145" s="2">
        <v>1280000000</v>
      </c>
      <c r="J145" t="s">
        <v>13</v>
      </c>
      <c r="K145" t="s">
        <v>91</v>
      </c>
      <c r="L145">
        <f t="shared" si="2"/>
        <v>0.19814502529510958</v>
      </c>
    </row>
    <row r="146" spans="1:12" x14ac:dyDescent="0.2">
      <c r="A146">
        <v>156</v>
      </c>
      <c r="B146" t="s">
        <v>92</v>
      </c>
      <c r="C146" t="s">
        <v>11</v>
      </c>
      <c r="D146" s="1">
        <v>41274</v>
      </c>
      <c r="E146" s="2">
        <v>4856000000</v>
      </c>
      <c r="F146" s="2">
        <v>1662000000</v>
      </c>
      <c r="G146" s="2">
        <v>1139000000</v>
      </c>
      <c r="H146" s="2">
        <v>604000000</v>
      </c>
      <c r="I146" t="s">
        <v>12</v>
      </c>
      <c r="J146" t="s">
        <v>22</v>
      </c>
      <c r="K146" t="s">
        <v>93</v>
      </c>
      <c r="L146">
        <f t="shared" si="2"/>
        <v>0.65774299835255357</v>
      </c>
    </row>
    <row r="147" spans="1:12" x14ac:dyDescent="0.2">
      <c r="A147">
        <v>157</v>
      </c>
      <c r="B147" t="s">
        <v>92</v>
      </c>
      <c r="C147" t="s">
        <v>15</v>
      </c>
      <c r="D147" s="1">
        <v>41639</v>
      </c>
      <c r="E147" s="2">
        <v>4583000000</v>
      </c>
      <c r="F147" s="2">
        <v>1531000000</v>
      </c>
      <c r="G147" s="2">
        <v>1096000000</v>
      </c>
      <c r="H147" s="2">
        <v>584000000</v>
      </c>
      <c r="I147" t="s">
        <v>12</v>
      </c>
      <c r="J147" t="s">
        <v>22</v>
      </c>
      <c r="K147" t="s">
        <v>93</v>
      </c>
      <c r="L147">
        <f t="shared" si="2"/>
        <v>0.66593934104298502</v>
      </c>
    </row>
    <row r="148" spans="1:12" x14ac:dyDescent="0.2">
      <c r="A148">
        <v>158</v>
      </c>
      <c r="B148" t="s">
        <v>92</v>
      </c>
      <c r="C148" t="s">
        <v>16</v>
      </c>
      <c r="D148" s="1">
        <v>42004</v>
      </c>
      <c r="E148" s="2">
        <v>4408000000</v>
      </c>
      <c r="F148" s="2">
        <v>1525000000</v>
      </c>
      <c r="G148" s="2">
        <v>1129000000</v>
      </c>
      <c r="H148" s="2">
        <v>571000000</v>
      </c>
      <c r="I148" t="s">
        <v>12</v>
      </c>
      <c r="J148" t="s">
        <v>22</v>
      </c>
      <c r="K148" t="s">
        <v>93</v>
      </c>
      <c r="L148">
        <f t="shared" si="2"/>
        <v>0.65403811252268595</v>
      </c>
    </row>
    <row r="149" spans="1:12" x14ac:dyDescent="0.2">
      <c r="A149">
        <v>159</v>
      </c>
      <c r="B149" t="s">
        <v>92</v>
      </c>
      <c r="C149" t="s">
        <v>17</v>
      </c>
      <c r="D149" s="1">
        <v>42369</v>
      </c>
      <c r="E149" s="2">
        <v>4664000000</v>
      </c>
      <c r="F149" s="2">
        <v>1585000000</v>
      </c>
      <c r="G149" s="2">
        <v>1114000000</v>
      </c>
      <c r="H149" s="2">
        <v>646000000</v>
      </c>
      <c r="I149" t="s">
        <v>12</v>
      </c>
      <c r="J149" t="s">
        <v>22</v>
      </c>
      <c r="K149" t="s">
        <v>93</v>
      </c>
      <c r="L149">
        <f t="shared" si="2"/>
        <v>0.66016295025728988</v>
      </c>
    </row>
    <row r="150" spans="1:12" x14ac:dyDescent="0.2">
      <c r="A150">
        <v>164</v>
      </c>
      <c r="B150" t="s">
        <v>94</v>
      </c>
      <c r="C150" t="s">
        <v>11</v>
      </c>
      <c r="D150" s="1">
        <v>42309</v>
      </c>
      <c r="E150" s="2">
        <v>6824000000</v>
      </c>
      <c r="F150" s="2">
        <v>3271000000</v>
      </c>
      <c r="G150" s="2">
        <v>486000000</v>
      </c>
      <c r="H150" s="2">
        <v>1049000000</v>
      </c>
      <c r="I150" s="2">
        <v>249000000</v>
      </c>
      <c r="J150" t="s">
        <v>22</v>
      </c>
      <c r="K150" t="s">
        <v>34</v>
      </c>
      <c r="L150">
        <f t="shared" si="2"/>
        <v>0.52066236811254396</v>
      </c>
    </row>
    <row r="151" spans="1:12" x14ac:dyDescent="0.2">
      <c r="A151">
        <v>165</v>
      </c>
      <c r="B151" t="s">
        <v>94</v>
      </c>
      <c r="C151" t="s">
        <v>15</v>
      </c>
      <c r="D151" s="1">
        <v>42673</v>
      </c>
      <c r="E151" s="2">
        <v>13240000000</v>
      </c>
      <c r="F151" s="2">
        <v>7300000000</v>
      </c>
      <c r="G151" s="2">
        <v>806000000</v>
      </c>
      <c r="H151" s="2">
        <v>2674000000</v>
      </c>
      <c r="I151" s="2">
        <v>1873000000</v>
      </c>
      <c r="J151" t="s">
        <v>22</v>
      </c>
      <c r="K151" t="s">
        <v>34</v>
      </c>
      <c r="L151">
        <f t="shared" si="2"/>
        <v>0.44864048338368578</v>
      </c>
    </row>
    <row r="152" spans="1:12" x14ac:dyDescent="0.2">
      <c r="A152">
        <v>166</v>
      </c>
      <c r="B152" t="s">
        <v>95</v>
      </c>
      <c r="C152" t="s">
        <v>11</v>
      </c>
      <c r="D152" s="1">
        <v>41274</v>
      </c>
      <c r="E152" s="2">
        <v>5863500000</v>
      </c>
      <c r="F152" s="2">
        <v>4335300000</v>
      </c>
      <c r="G152" s="2">
        <v>1148900000</v>
      </c>
      <c r="H152" t="s">
        <v>12</v>
      </c>
      <c r="I152" t="s">
        <v>12</v>
      </c>
      <c r="J152" t="s">
        <v>59</v>
      </c>
      <c r="K152" t="s">
        <v>96</v>
      </c>
      <c r="L152">
        <f t="shared" si="2"/>
        <v>0.26062931696085956</v>
      </c>
    </row>
    <row r="153" spans="1:12" x14ac:dyDescent="0.2">
      <c r="A153">
        <v>167</v>
      </c>
      <c r="B153" t="s">
        <v>95</v>
      </c>
      <c r="C153" t="s">
        <v>15</v>
      </c>
      <c r="D153" s="1">
        <v>41636</v>
      </c>
      <c r="E153" s="2">
        <v>6140000000</v>
      </c>
      <c r="F153" s="2">
        <v>4502300000</v>
      </c>
      <c r="G153" s="2">
        <v>1174200000</v>
      </c>
      <c r="H153" t="s">
        <v>12</v>
      </c>
      <c r="I153" t="s">
        <v>12</v>
      </c>
      <c r="J153" t="s">
        <v>59</v>
      </c>
      <c r="K153" t="s">
        <v>96</v>
      </c>
      <c r="L153">
        <f t="shared" si="2"/>
        <v>0.26672638436482088</v>
      </c>
    </row>
    <row r="154" spans="1:12" x14ac:dyDescent="0.2">
      <c r="A154">
        <v>168</v>
      </c>
      <c r="B154" t="s">
        <v>95</v>
      </c>
      <c r="C154" t="s">
        <v>16</v>
      </c>
      <c r="D154" s="1">
        <v>42007</v>
      </c>
      <c r="E154" s="2">
        <v>6330300000</v>
      </c>
      <c r="F154" s="2">
        <v>4679100000</v>
      </c>
      <c r="G154" s="2">
        <v>1158900000</v>
      </c>
      <c r="H154" t="s">
        <v>12</v>
      </c>
      <c r="I154" t="s">
        <v>12</v>
      </c>
      <c r="J154" t="s">
        <v>59</v>
      </c>
      <c r="K154" t="s">
        <v>96</v>
      </c>
      <c r="L154">
        <f t="shared" si="2"/>
        <v>0.26084071844936263</v>
      </c>
    </row>
    <row r="155" spans="1:12" x14ac:dyDescent="0.2">
      <c r="A155">
        <v>169</v>
      </c>
      <c r="B155" t="s">
        <v>95</v>
      </c>
      <c r="C155" t="s">
        <v>17</v>
      </c>
      <c r="D155" s="1">
        <v>42371</v>
      </c>
      <c r="E155" s="2">
        <v>5966900000</v>
      </c>
      <c r="F155" s="2">
        <v>4321100000</v>
      </c>
      <c r="G155" s="2">
        <v>1108100000</v>
      </c>
      <c r="H155" t="s">
        <v>12</v>
      </c>
      <c r="I155" t="s">
        <v>12</v>
      </c>
      <c r="J155" t="s">
        <v>59</v>
      </c>
      <c r="K155" t="s">
        <v>96</v>
      </c>
      <c r="L155">
        <f t="shared" si="2"/>
        <v>0.27582161591446142</v>
      </c>
    </row>
    <row r="156" spans="1:12" x14ac:dyDescent="0.2">
      <c r="A156">
        <v>170</v>
      </c>
      <c r="B156" t="s">
        <v>97</v>
      </c>
      <c r="C156" t="s">
        <v>11</v>
      </c>
      <c r="D156" s="1">
        <v>41274</v>
      </c>
      <c r="E156" s="2">
        <v>2853926000</v>
      </c>
      <c r="F156" s="2">
        <v>1329500000</v>
      </c>
      <c r="G156" s="2">
        <v>220758000</v>
      </c>
      <c r="H156" t="s">
        <v>12</v>
      </c>
      <c r="I156" s="2">
        <v>380402000</v>
      </c>
      <c r="J156" t="s">
        <v>42</v>
      </c>
      <c r="K156" t="s">
        <v>98</v>
      </c>
      <c r="L156">
        <f t="shared" si="2"/>
        <v>0.53415050004800402</v>
      </c>
    </row>
    <row r="157" spans="1:12" x14ac:dyDescent="0.2">
      <c r="A157">
        <v>171</v>
      </c>
      <c r="B157" t="s">
        <v>97</v>
      </c>
      <c r="C157" t="s">
        <v>15</v>
      </c>
      <c r="D157" s="1">
        <v>41639</v>
      </c>
      <c r="E157" s="2">
        <v>2879000000</v>
      </c>
      <c r="F157" s="2">
        <v>1289000000</v>
      </c>
      <c r="G157" s="2">
        <v>234000000</v>
      </c>
      <c r="H157" t="s">
        <v>12</v>
      </c>
      <c r="I157" s="2">
        <v>407000000</v>
      </c>
      <c r="J157" t="s">
        <v>42</v>
      </c>
      <c r="K157" t="s">
        <v>98</v>
      </c>
      <c r="L157">
        <f t="shared" si="2"/>
        <v>0.55227509551927745</v>
      </c>
    </row>
    <row r="158" spans="1:12" x14ac:dyDescent="0.2">
      <c r="A158">
        <v>172</v>
      </c>
      <c r="B158" t="s">
        <v>97</v>
      </c>
      <c r="C158" t="s">
        <v>16</v>
      </c>
      <c r="D158" s="1">
        <v>42004</v>
      </c>
      <c r="E158" s="2">
        <v>3011000000</v>
      </c>
      <c r="F158" s="2">
        <v>1350000000</v>
      </c>
      <c r="G158" s="2">
        <v>236000000</v>
      </c>
      <c r="H158" t="s">
        <v>12</v>
      </c>
      <c r="I158" s="2">
        <v>424000000</v>
      </c>
      <c r="J158" t="s">
        <v>42</v>
      </c>
      <c r="K158" t="s">
        <v>98</v>
      </c>
      <c r="L158">
        <f t="shared" si="2"/>
        <v>0.55164397210229166</v>
      </c>
    </row>
    <row r="159" spans="1:12" x14ac:dyDescent="0.2">
      <c r="A159">
        <v>173</v>
      </c>
      <c r="B159" t="s">
        <v>97</v>
      </c>
      <c r="C159" t="s">
        <v>17</v>
      </c>
      <c r="D159" s="1">
        <v>42369</v>
      </c>
      <c r="E159" s="2">
        <v>3159000000</v>
      </c>
      <c r="F159" s="2">
        <v>1404000000</v>
      </c>
      <c r="G159" s="2">
        <v>243000000</v>
      </c>
      <c r="H159" t="s">
        <v>12</v>
      </c>
      <c r="I159" s="2">
        <v>440000000</v>
      </c>
      <c r="J159" t="s">
        <v>42</v>
      </c>
      <c r="K159" t="s">
        <v>98</v>
      </c>
      <c r="L159">
        <f t="shared" si="2"/>
        <v>0.55555555555555558</v>
      </c>
    </row>
    <row r="160" spans="1:12" x14ac:dyDescent="0.2">
      <c r="A160">
        <v>174</v>
      </c>
      <c r="B160" t="s">
        <v>99</v>
      </c>
      <c r="C160" t="s">
        <v>11</v>
      </c>
      <c r="D160" s="1">
        <v>41274</v>
      </c>
      <c r="E160" s="2">
        <v>33781000000</v>
      </c>
      <c r="F160" s="2">
        <v>480000000</v>
      </c>
      <c r="G160" s="2">
        <v>23392000000</v>
      </c>
      <c r="H160" t="s">
        <v>12</v>
      </c>
      <c r="I160" s="2">
        <v>1712000000</v>
      </c>
      <c r="J160" t="s">
        <v>47</v>
      </c>
      <c r="K160" t="s">
        <v>100</v>
      </c>
      <c r="L160">
        <f t="shared" si="2"/>
        <v>0.98579082916432315</v>
      </c>
    </row>
    <row r="161" spans="1:12" x14ac:dyDescent="0.2">
      <c r="A161">
        <v>175</v>
      </c>
      <c r="B161" t="s">
        <v>99</v>
      </c>
      <c r="C161" t="s">
        <v>15</v>
      </c>
      <c r="D161" s="1">
        <v>41639</v>
      </c>
      <c r="E161" s="2">
        <v>34828000000</v>
      </c>
      <c r="F161" s="2">
        <v>442000000</v>
      </c>
      <c r="G161" s="2">
        <v>23150000000</v>
      </c>
      <c r="H161" t="s">
        <v>12</v>
      </c>
      <c r="I161" s="2">
        <v>1832000000</v>
      </c>
      <c r="J161" t="s">
        <v>47</v>
      </c>
      <c r="K161" t="s">
        <v>100</v>
      </c>
      <c r="L161">
        <f t="shared" si="2"/>
        <v>0.98730906167451471</v>
      </c>
    </row>
    <row r="162" spans="1:12" x14ac:dyDescent="0.2">
      <c r="A162">
        <v>176</v>
      </c>
      <c r="B162" t="s">
        <v>99</v>
      </c>
      <c r="C162" t="s">
        <v>16</v>
      </c>
      <c r="D162" s="1">
        <v>42004</v>
      </c>
      <c r="E162" s="2">
        <v>35895000000</v>
      </c>
      <c r="F162" s="2">
        <v>373000000</v>
      </c>
      <c r="G162" s="2">
        <v>23153000000</v>
      </c>
      <c r="H162" t="s">
        <v>12</v>
      </c>
      <c r="I162" s="2">
        <v>2044000000</v>
      </c>
      <c r="J162" t="s">
        <v>47</v>
      </c>
      <c r="K162" t="s">
        <v>100</v>
      </c>
      <c r="L162">
        <f t="shared" si="2"/>
        <v>0.98960858058225376</v>
      </c>
    </row>
    <row r="163" spans="1:12" x14ac:dyDescent="0.2">
      <c r="A163">
        <v>177</v>
      </c>
      <c r="B163" t="s">
        <v>99</v>
      </c>
      <c r="C163" t="s">
        <v>17</v>
      </c>
      <c r="D163" s="1">
        <v>42369</v>
      </c>
      <c r="E163" s="2">
        <v>34441000000</v>
      </c>
      <c r="F163" s="2">
        <v>475000000</v>
      </c>
      <c r="G163" s="2">
        <v>22892000000</v>
      </c>
      <c r="H163" t="s">
        <v>12</v>
      </c>
      <c r="I163" s="2">
        <v>1988000000</v>
      </c>
      <c r="J163" t="s">
        <v>47</v>
      </c>
      <c r="K163" t="s">
        <v>100</v>
      </c>
      <c r="L163">
        <f t="shared" si="2"/>
        <v>0.98620829824917977</v>
      </c>
    </row>
    <row r="164" spans="1:12" x14ac:dyDescent="0.2">
      <c r="A164">
        <v>178</v>
      </c>
      <c r="B164" t="s">
        <v>101</v>
      </c>
      <c r="C164" t="s">
        <v>11</v>
      </c>
      <c r="D164" s="1">
        <v>41517</v>
      </c>
      <c r="E164" s="2">
        <v>2089100000</v>
      </c>
      <c r="F164" s="2">
        <v>1251500000</v>
      </c>
      <c r="G164" s="2">
        <v>607600000</v>
      </c>
      <c r="H164" t="s">
        <v>12</v>
      </c>
      <c r="I164" t="s">
        <v>12</v>
      </c>
      <c r="J164" t="s">
        <v>13</v>
      </c>
      <c r="K164" t="s">
        <v>70</v>
      </c>
      <c r="L164">
        <f t="shared" si="2"/>
        <v>0.40093820305394667</v>
      </c>
    </row>
    <row r="165" spans="1:12" x14ac:dyDescent="0.2">
      <c r="A165">
        <v>179</v>
      </c>
      <c r="B165" t="s">
        <v>101</v>
      </c>
      <c r="C165" t="s">
        <v>15</v>
      </c>
      <c r="D165" s="1">
        <v>41882</v>
      </c>
      <c r="E165" s="2">
        <v>2393500000</v>
      </c>
      <c r="F165" s="2">
        <v>1414300000</v>
      </c>
      <c r="G165" s="2">
        <v>680300000</v>
      </c>
      <c r="H165" t="s">
        <v>12</v>
      </c>
      <c r="I165" t="s">
        <v>12</v>
      </c>
      <c r="J165" t="s">
        <v>13</v>
      </c>
      <c r="K165" t="s">
        <v>70</v>
      </c>
      <c r="L165">
        <f t="shared" si="2"/>
        <v>0.4091080008355964</v>
      </c>
    </row>
    <row r="166" spans="1:12" x14ac:dyDescent="0.2">
      <c r="A166">
        <v>180</v>
      </c>
      <c r="B166" t="s">
        <v>101</v>
      </c>
      <c r="C166" t="s">
        <v>16</v>
      </c>
      <c r="D166" s="1">
        <v>42247</v>
      </c>
      <c r="E166" s="2">
        <v>2706700000</v>
      </c>
      <c r="F166" s="2">
        <v>1561100000</v>
      </c>
      <c r="G166" s="2">
        <v>756900000</v>
      </c>
      <c r="H166" t="s">
        <v>12</v>
      </c>
      <c r="I166" t="s">
        <v>12</v>
      </c>
      <c r="J166" t="s">
        <v>13</v>
      </c>
      <c r="K166" t="s">
        <v>70</v>
      </c>
      <c r="L166">
        <f t="shared" si="2"/>
        <v>0.42324601913769533</v>
      </c>
    </row>
    <row r="167" spans="1:12" x14ac:dyDescent="0.2">
      <c r="A167">
        <v>181</v>
      </c>
      <c r="B167" t="s">
        <v>101</v>
      </c>
      <c r="C167" t="s">
        <v>17</v>
      </c>
      <c r="D167" s="1">
        <v>42613</v>
      </c>
      <c r="E167" s="2">
        <v>3291300000</v>
      </c>
      <c r="F167" s="2">
        <v>1855100000</v>
      </c>
      <c r="G167" s="2">
        <v>946000000</v>
      </c>
      <c r="H167" t="s">
        <v>12</v>
      </c>
      <c r="I167" t="s">
        <v>12</v>
      </c>
      <c r="J167" t="s">
        <v>13</v>
      </c>
      <c r="K167" t="s">
        <v>70</v>
      </c>
      <c r="L167">
        <f t="shared" si="2"/>
        <v>0.43636253152249871</v>
      </c>
    </row>
    <row r="168" spans="1:12" x14ac:dyDescent="0.2">
      <c r="A168">
        <v>182</v>
      </c>
      <c r="B168" t="s">
        <v>102</v>
      </c>
      <c r="C168" t="s">
        <v>11</v>
      </c>
      <c r="D168" s="1">
        <v>41517</v>
      </c>
      <c r="E168" s="2">
        <v>9147530000</v>
      </c>
      <c r="F168" s="2">
        <v>4406595000</v>
      </c>
      <c r="G168" s="2">
        <v>2967837000</v>
      </c>
      <c r="H168" t="s">
        <v>12</v>
      </c>
      <c r="I168" t="s">
        <v>12</v>
      </c>
      <c r="J168" t="s">
        <v>19</v>
      </c>
      <c r="K168" t="s">
        <v>79</v>
      </c>
      <c r="L168">
        <f t="shared" si="2"/>
        <v>0.51827487857377896</v>
      </c>
    </row>
    <row r="169" spans="1:12" x14ac:dyDescent="0.2">
      <c r="A169">
        <v>183</v>
      </c>
      <c r="B169" t="s">
        <v>102</v>
      </c>
      <c r="C169" t="s">
        <v>15</v>
      </c>
      <c r="D169" s="1">
        <v>41881</v>
      </c>
      <c r="E169" s="2">
        <v>9475313000</v>
      </c>
      <c r="F169" s="2">
        <v>4540406000</v>
      </c>
      <c r="G169" s="2">
        <v>3104684000</v>
      </c>
      <c r="H169" t="s">
        <v>12</v>
      </c>
      <c r="I169" t="s">
        <v>12</v>
      </c>
      <c r="J169" t="s">
        <v>19</v>
      </c>
      <c r="K169" t="s">
        <v>79</v>
      </c>
      <c r="L169">
        <f t="shared" si="2"/>
        <v>0.52081730703777285</v>
      </c>
    </row>
    <row r="170" spans="1:12" x14ac:dyDescent="0.2">
      <c r="A170">
        <v>184</v>
      </c>
      <c r="B170" t="s">
        <v>102</v>
      </c>
      <c r="C170" t="s">
        <v>16</v>
      </c>
      <c r="D170" s="1">
        <v>42245</v>
      </c>
      <c r="E170" s="2">
        <v>10187340000</v>
      </c>
      <c r="F170" s="2">
        <v>4860309000</v>
      </c>
      <c r="G170" s="2">
        <v>3373980000</v>
      </c>
      <c r="H170" t="s">
        <v>12</v>
      </c>
      <c r="I170" t="s">
        <v>12</v>
      </c>
      <c r="J170" t="s">
        <v>19</v>
      </c>
      <c r="K170" t="s">
        <v>79</v>
      </c>
      <c r="L170">
        <f t="shared" si="2"/>
        <v>0.52290696099276168</v>
      </c>
    </row>
    <row r="171" spans="1:12" x14ac:dyDescent="0.2">
      <c r="A171">
        <v>185</v>
      </c>
      <c r="B171" t="s">
        <v>102</v>
      </c>
      <c r="C171" t="s">
        <v>17</v>
      </c>
      <c r="D171" s="1">
        <v>42609</v>
      </c>
      <c r="E171" s="2">
        <v>10635676000</v>
      </c>
      <c r="F171" s="2">
        <v>5026940000</v>
      </c>
      <c r="G171" s="2">
        <v>3548341000</v>
      </c>
      <c r="H171" t="s">
        <v>12</v>
      </c>
      <c r="I171" t="s">
        <v>12</v>
      </c>
      <c r="J171" t="s">
        <v>19</v>
      </c>
      <c r="K171" t="s">
        <v>79</v>
      </c>
      <c r="L171">
        <f t="shared" si="2"/>
        <v>0.5273511528557282</v>
      </c>
    </row>
    <row r="172" spans="1:12" x14ac:dyDescent="0.2">
      <c r="A172">
        <v>186</v>
      </c>
      <c r="B172" t="s">
        <v>103</v>
      </c>
      <c r="C172" t="s">
        <v>11</v>
      </c>
      <c r="D172" s="1">
        <v>41639</v>
      </c>
      <c r="E172" s="2">
        <v>86623000000</v>
      </c>
      <c r="F172" s="2">
        <v>73268000000</v>
      </c>
      <c r="G172" s="2">
        <v>3742000000</v>
      </c>
      <c r="H172" s="2">
        <v>3071000000</v>
      </c>
      <c r="I172" t="s">
        <v>12</v>
      </c>
      <c r="J172" t="s">
        <v>13</v>
      </c>
      <c r="K172" t="s">
        <v>91</v>
      </c>
      <c r="L172">
        <f t="shared" si="2"/>
        <v>0.15417383373930715</v>
      </c>
    </row>
    <row r="173" spans="1:12" x14ac:dyDescent="0.2">
      <c r="A173">
        <v>187</v>
      </c>
      <c r="B173" t="s">
        <v>103</v>
      </c>
      <c r="C173" t="s">
        <v>15</v>
      </c>
      <c r="D173" s="1">
        <v>42004</v>
      </c>
      <c r="E173" s="2">
        <v>90762000000</v>
      </c>
      <c r="F173" s="2">
        <v>76752000000</v>
      </c>
      <c r="G173" s="2">
        <v>3480000000</v>
      </c>
      <c r="H173" s="2">
        <v>3047000000</v>
      </c>
      <c r="I173" t="s">
        <v>12</v>
      </c>
      <c r="J173" t="s">
        <v>13</v>
      </c>
      <c r="K173" t="s">
        <v>91</v>
      </c>
      <c r="L173">
        <f t="shared" si="2"/>
        <v>0.15435975408210489</v>
      </c>
    </row>
    <row r="174" spans="1:12" x14ac:dyDescent="0.2">
      <c r="A174">
        <v>188</v>
      </c>
      <c r="B174" t="s">
        <v>103</v>
      </c>
      <c r="C174" t="s">
        <v>16</v>
      </c>
      <c r="D174" s="1">
        <v>42369</v>
      </c>
      <c r="E174" s="2">
        <v>96114000000</v>
      </c>
      <c r="F174" s="2">
        <v>82088000000</v>
      </c>
      <c r="G174" s="2">
        <v>3251000000</v>
      </c>
      <c r="H174" s="2">
        <v>3331000000</v>
      </c>
      <c r="I174" t="s">
        <v>12</v>
      </c>
      <c r="J174" t="s">
        <v>13</v>
      </c>
      <c r="K174" t="s">
        <v>91</v>
      </c>
      <c r="L174">
        <f t="shared" si="2"/>
        <v>0.14593087375408365</v>
      </c>
    </row>
    <row r="175" spans="1:12" x14ac:dyDescent="0.2">
      <c r="A175">
        <v>189</v>
      </c>
      <c r="B175" t="s">
        <v>103</v>
      </c>
      <c r="C175" t="s">
        <v>17</v>
      </c>
      <c r="D175" s="1">
        <v>42735</v>
      </c>
      <c r="E175" s="2">
        <v>94571000000</v>
      </c>
      <c r="F175" s="2">
        <v>80790000000</v>
      </c>
      <c r="G175" s="2">
        <v>3313000000</v>
      </c>
      <c r="H175" s="2">
        <v>4627000000</v>
      </c>
      <c r="I175" t="s">
        <v>12</v>
      </c>
      <c r="J175" t="s">
        <v>13</v>
      </c>
      <c r="K175" t="s">
        <v>91</v>
      </c>
      <c r="L175">
        <f t="shared" si="2"/>
        <v>0.14572120417464129</v>
      </c>
    </row>
    <row r="176" spans="1:12" x14ac:dyDescent="0.2">
      <c r="A176">
        <v>190</v>
      </c>
      <c r="B176" t="s">
        <v>104</v>
      </c>
      <c r="C176" t="s">
        <v>11</v>
      </c>
      <c r="D176" s="1">
        <v>41274</v>
      </c>
      <c r="E176" s="2">
        <v>100078000000</v>
      </c>
      <c r="F176" s="2">
        <v>3753000000</v>
      </c>
      <c r="G176" s="2">
        <v>70829000000</v>
      </c>
      <c r="H176" t="s">
        <v>12</v>
      </c>
      <c r="I176" s="2">
        <v>9433000000</v>
      </c>
      <c r="J176" t="s">
        <v>47</v>
      </c>
      <c r="K176" t="s">
        <v>105</v>
      </c>
      <c r="L176">
        <f t="shared" si="2"/>
        <v>0.962499250584544</v>
      </c>
    </row>
    <row r="177" spans="1:12" x14ac:dyDescent="0.2">
      <c r="A177">
        <v>191</v>
      </c>
      <c r="B177" t="s">
        <v>104</v>
      </c>
      <c r="C177" t="s">
        <v>15</v>
      </c>
      <c r="D177" s="1">
        <v>41639</v>
      </c>
      <c r="E177" s="2">
        <v>101697000000</v>
      </c>
      <c r="F177" s="2">
        <v>3034000000</v>
      </c>
      <c r="G177" s="2">
        <v>68128000000</v>
      </c>
      <c r="H177" t="s">
        <v>12</v>
      </c>
      <c r="I177" s="2">
        <v>4642000000</v>
      </c>
      <c r="J177" t="s">
        <v>47</v>
      </c>
      <c r="K177" t="s">
        <v>105</v>
      </c>
      <c r="L177">
        <f t="shared" si="2"/>
        <v>0.97016627825796242</v>
      </c>
    </row>
    <row r="178" spans="1:12" x14ac:dyDescent="0.2">
      <c r="A178">
        <v>192</v>
      </c>
      <c r="B178" t="s">
        <v>104</v>
      </c>
      <c r="C178" t="s">
        <v>16</v>
      </c>
      <c r="D178" s="1">
        <v>42004</v>
      </c>
      <c r="E178" s="2">
        <v>95181000000</v>
      </c>
      <c r="F178" s="2">
        <v>2656000000</v>
      </c>
      <c r="G178" s="2">
        <v>74181000000</v>
      </c>
      <c r="H178" t="s">
        <v>12</v>
      </c>
      <c r="I178" s="2">
        <v>3211000000</v>
      </c>
      <c r="J178" t="s">
        <v>47</v>
      </c>
      <c r="K178" t="s">
        <v>105</v>
      </c>
      <c r="L178">
        <f t="shared" si="2"/>
        <v>0.97209527111503347</v>
      </c>
    </row>
    <row r="179" spans="1:12" x14ac:dyDescent="0.2">
      <c r="A179">
        <v>193</v>
      </c>
      <c r="B179" t="s">
        <v>104</v>
      </c>
      <c r="C179" t="s">
        <v>17</v>
      </c>
      <c r="D179" s="1">
        <v>42369</v>
      </c>
      <c r="E179" s="2">
        <v>93056000000</v>
      </c>
      <c r="F179" s="2">
        <v>2204000000</v>
      </c>
      <c r="G179" s="2">
        <v>56358000000</v>
      </c>
      <c r="H179" t="s">
        <v>12</v>
      </c>
      <c r="I179" s="2">
        <v>3995000000</v>
      </c>
      <c r="J179" t="s">
        <v>47</v>
      </c>
      <c r="K179" t="s">
        <v>105</v>
      </c>
      <c r="L179">
        <f t="shared" si="2"/>
        <v>0.97631533700137552</v>
      </c>
    </row>
    <row r="180" spans="1:12" x14ac:dyDescent="0.2">
      <c r="A180">
        <v>194</v>
      </c>
      <c r="B180" t="s">
        <v>106</v>
      </c>
      <c r="C180" t="s">
        <v>11</v>
      </c>
      <c r="D180" s="1">
        <v>41274</v>
      </c>
      <c r="E180" s="2">
        <v>13936000000</v>
      </c>
      <c r="F180" s="2">
        <v>6802000000</v>
      </c>
      <c r="G180" s="2">
        <v>3283000000</v>
      </c>
      <c r="H180" s="2">
        <v>1081000000</v>
      </c>
      <c r="I180" t="s">
        <v>12</v>
      </c>
      <c r="J180" t="s">
        <v>25</v>
      </c>
      <c r="K180" t="s">
        <v>30</v>
      </c>
      <c r="L180">
        <f t="shared" si="2"/>
        <v>0.51191159586681967</v>
      </c>
    </row>
    <row r="181" spans="1:12" x14ac:dyDescent="0.2">
      <c r="A181">
        <v>195</v>
      </c>
      <c r="B181" t="s">
        <v>106</v>
      </c>
      <c r="C181" t="s">
        <v>15</v>
      </c>
      <c r="D181" s="1">
        <v>41639</v>
      </c>
      <c r="E181" s="2">
        <v>9413000000</v>
      </c>
      <c r="F181" s="2">
        <v>5251000000</v>
      </c>
      <c r="G181" s="2">
        <v>3084000000</v>
      </c>
      <c r="H181" s="2">
        <v>582000000</v>
      </c>
      <c r="I181" t="s">
        <v>12</v>
      </c>
      <c r="J181" t="s">
        <v>25</v>
      </c>
      <c r="K181" t="s">
        <v>30</v>
      </c>
      <c r="L181">
        <f t="shared" si="2"/>
        <v>0.44215446722617657</v>
      </c>
    </row>
    <row r="182" spans="1:12" x14ac:dyDescent="0.2">
      <c r="A182">
        <v>196</v>
      </c>
      <c r="B182" t="s">
        <v>106</v>
      </c>
      <c r="C182" t="s">
        <v>16</v>
      </c>
      <c r="D182" s="1">
        <v>42004</v>
      </c>
      <c r="E182" s="2">
        <v>10719000000</v>
      </c>
      <c r="F182" s="2">
        <v>6138000000</v>
      </c>
      <c r="G182" s="2">
        <v>3315000000</v>
      </c>
      <c r="H182" s="2">
        <v>610000000</v>
      </c>
      <c r="I182" t="s">
        <v>12</v>
      </c>
      <c r="J182" t="s">
        <v>25</v>
      </c>
      <c r="K182" t="s">
        <v>30</v>
      </c>
      <c r="L182">
        <f t="shared" si="2"/>
        <v>0.42737195633921077</v>
      </c>
    </row>
    <row r="183" spans="1:12" x14ac:dyDescent="0.2">
      <c r="A183">
        <v>197</v>
      </c>
      <c r="B183" t="s">
        <v>106</v>
      </c>
      <c r="C183" t="s">
        <v>17</v>
      </c>
      <c r="D183" s="1">
        <v>42369</v>
      </c>
      <c r="E183" s="2">
        <v>9968000000</v>
      </c>
      <c r="F183" s="2">
        <v>5822000000</v>
      </c>
      <c r="G183" s="2">
        <v>3094000000</v>
      </c>
      <c r="H183" s="2">
        <v>603000000</v>
      </c>
      <c r="I183" t="s">
        <v>12</v>
      </c>
      <c r="J183" t="s">
        <v>25</v>
      </c>
      <c r="K183" t="s">
        <v>30</v>
      </c>
      <c r="L183">
        <f t="shared" si="2"/>
        <v>0.4159309791332263</v>
      </c>
    </row>
    <row r="184" spans="1:12" x14ac:dyDescent="0.2">
      <c r="A184">
        <v>198</v>
      </c>
      <c r="B184" t="s">
        <v>107</v>
      </c>
      <c r="C184" t="s">
        <v>11</v>
      </c>
      <c r="D184" s="1">
        <v>41335</v>
      </c>
      <c r="E184" s="2">
        <v>10914585000</v>
      </c>
      <c r="F184" s="2">
        <v>6525830000</v>
      </c>
      <c r="G184" s="2">
        <v>2750537000</v>
      </c>
      <c r="H184" t="s">
        <v>12</v>
      </c>
      <c r="I184" t="s">
        <v>12</v>
      </c>
      <c r="J184" t="s">
        <v>19</v>
      </c>
      <c r="K184" t="s">
        <v>79</v>
      </c>
      <c r="L184">
        <f t="shared" si="2"/>
        <v>0.40210003403702477</v>
      </c>
    </row>
    <row r="185" spans="1:12" x14ac:dyDescent="0.2">
      <c r="A185">
        <v>199</v>
      </c>
      <c r="B185" t="s">
        <v>107</v>
      </c>
      <c r="C185" t="s">
        <v>15</v>
      </c>
      <c r="D185" s="1">
        <v>41699</v>
      </c>
      <c r="E185" s="2">
        <v>11503963000</v>
      </c>
      <c r="F185" s="2">
        <v>6938381000</v>
      </c>
      <c r="G185" s="2">
        <v>2950995000</v>
      </c>
      <c r="H185" t="s">
        <v>12</v>
      </c>
      <c r="I185" t="s">
        <v>12</v>
      </c>
      <c r="J185" t="s">
        <v>19</v>
      </c>
      <c r="K185" t="s">
        <v>79</v>
      </c>
      <c r="L185">
        <f t="shared" si="2"/>
        <v>0.3968703654557999</v>
      </c>
    </row>
    <row r="186" spans="1:12" x14ac:dyDescent="0.2">
      <c r="A186">
        <v>200</v>
      </c>
      <c r="B186" t="s">
        <v>107</v>
      </c>
      <c r="C186" t="s">
        <v>16</v>
      </c>
      <c r="D186" s="1">
        <v>42063</v>
      </c>
      <c r="E186" s="2">
        <v>11881176000</v>
      </c>
      <c r="F186" s="2">
        <v>7261397000</v>
      </c>
      <c r="G186" s="2">
        <v>3065486000</v>
      </c>
      <c r="H186" t="s">
        <v>12</v>
      </c>
      <c r="I186" t="s">
        <v>12</v>
      </c>
      <c r="J186" t="s">
        <v>19</v>
      </c>
      <c r="K186" t="s">
        <v>79</v>
      </c>
      <c r="L186">
        <f t="shared" si="2"/>
        <v>0.38883179577509841</v>
      </c>
    </row>
    <row r="187" spans="1:12" x14ac:dyDescent="0.2">
      <c r="A187">
        <v>201</v>
      </c>
      <c r="B187" t="s">
        <v>107</v>
      </c>
      <c r="C187" t="s">
        <v>17</v>
      </c>
      <c r="D187" s="1">
        <v>42427</v>
      </c>
      <c r="E187" s="2">
        <v>12103887000</v>
      </c>
      <c r="F187" s="2">
        <v>7483577000</v>
      </c>
      <c r="G187" s="2">
        <v>3205407000</v>
      </c>
      <c r="H187" t="s">
        <v>12</v>
      </c>
      <c r="I187" t="s">
        <v>12</v>
      </c>
      <c r="J187" t="s">
        <v>19</v>
      </c>
      <c r="K187" t="s">
        <v>79</v>
      </c>
      <c r="L187">
        <f t="shared" si="2"/>
        <v>0.38172117766796732</v>
      </c>
    </row>
    <row r="188" spans="1:12" x14ac:dyDescent="0.2">
      <c r="A188">
        <v>202</v>
      </c>
      <c r="B188" t="s">
        <v>108</v>
      </c>
      <c r="C188" t="s">
        <v>11</v>
      </c>
      <c r="D188" s="1">
        <v>41274</v>
      </c>
      <c r="E188" s="2">
        <v>10737000000</v>
      </c>
      <c r="F188" s="2">
        <v>429000000</v>
      </c>
      <c r="G188" s="2">
        <v>5650000000</v>
      </c>
      <c r="H188" t="s">
        <v>12</v>
      </c>
      <c r="I188" s="2">
        <v>1167000000</v>
      </c>
      <c r="J188" t="s">
        <v>47</v>
      </c>
      <c r="K188" t="s">
        <v>105</v>
      </c>
      <c r="L188">
        <f t="shared" si="2"/>
        <v>0.96004470522492313</v>
      </c>
    </row>
    <row r="189" spans="1:12" x14ac:dyDescent="0.2">
      <c r="A189">
        <v>203</v>
      </c>
      <c r="B189" t="s">
        <v>108</v>
      </c>
      <c r="C189" t="s">
        <v>15</v>
      </c>
      <c r="D189" s="1">
        <v>41639</v>
      </c>
      <c r="E189" s="2">
        <v>10543000000</v>
      </c>
      <c r="F189" s="2">
        <v>301000000</v>
      </c>
      <c r="G189" s="2">
        <v>5625000000</v>
      </c>
      <c r="H189" t="s">
        <v>12</v>
      </c>
      <c r="I189" s="2">
        <v>698000000</v>
      </c>
      <c r="J189" t="s">
        <v>47</v>
      </c>
      <c r="K189" t="s">
        <v>105</v>
      </c>
      <c r="L189">
        <f t="shared" si="2"/>
        <v>0.97145025135160767</v>
      </c>
    </row>
    <row r="190" spans="1:12" x14ac:dyDescent="0.2">
      <c r="A190">
        <v>204</v>
      </c>
      <c r="B190" t="s">
        <v>108</v>
      </c>
      <c r="C190" t="s">
        <v>16</v>
      </c>
      <c r="D190" s="1">
        <v>42004</v>
      </c>
      <c r="E190" s="2">
        <v>9998000000</v>
      </c>
      <c r="F190" s="2">
        <v>239000000</v>
      </c>
      <c r="G190" s="2">
        <v>5715000000</v>
      </c>
      <c r="H190" t="s">
        <v>12</v>
      </c>
      <c r="I190" s="2">
        <v>342000000</v>
      </c>
      <c r="J190" t="s">
        <v>47</v>
      </c>
      <c r="K190" t="s">
        <v>105</v>
      </c>
      <c r="L190">
        <f t="shared" si="2"/>
        <v>0.9760952190438088</v>
      </c>
    </row>
    <row r="191" spans="1:12" x14ac:dyDescent="0.2">
      <c r="A191">
        <v>205</v>
      </c>
      <c r="B191" t="s">
        <v>108</v>
      </c>
      <c r="C191" t="s">
        <v>17</v>
      </c>
      <c r="D191" s="1">
        <v>42369</v>
      </c>
      <c r="E191" s="2">
        <v>10346000000</v>
      </c>
      <c r="F191" s="2">
        <v>233000000</v>
      </c>
      <c r="G191" s="2">
        <v>5996000000</v>
      </c>
      <c r="H191" t="s">
        <v>12</v>
      </c>
      <c r="I191" s="2">
        <v>533000000</v>
      </c>
      <c r="J191" t="s">
        <v>47</v>
      </c>
      <c r="K191" t="s">
        <v>105</v>
      </c>
      <c r="L191">
        <f t="shared" si="2"/>
        <v>0.9774792190218442</v>
      </c>
    </row>
    <row r="192" spans="1:12" x14ac:dyDescent="0.2">
      <c r="A192">
        <v>206</v>
      </c>
      <c r="B192" t="s">
        <v>109</v>
      </c>
      <c r="C192" t="s">
        <v>11</v>
      </c>
      <c r="D192" s="1">
        <v>40971</v>
      </c>
      <c r="E192" s="2">
        <v>45457000000</v>
      </c>
      <c r="F192" s="2">
        <v>34473000000</v>
      </c>
      <c r="G192" s="2">
        <v>8755000000</v>
      </c>
      <c r="H192" t="s">
        <v>12</v>
      </c>
      <c r="I192" t="s">
        <v>12</v>
      </c>
      <c r="J192" t="s">
        <v>19</v>
      </c>
      <c r="K192" t="s">
        <v>110</v>
      </c>
      <c r="L192">
        <f t="shared" si="2"/>
        <v>0.24163495171260752</v>
      </c>
    </row>
    <row r="193" spans="1:12" x14ac:dyDescent="0.2">
      <c r="A193">
        <v>207</v>
      </c>
      <c r="B193" t="s">
        <v>109</v>
      </c>
      <c r="C193" t="s">
        <v>15</v>
      </c>
      <c r="D193" s="1">
        <v>41671</v>
      </c>
      <c r="E193" s="2">
        <v>40611000000</v>
      </c>
      <c r="F193" s="2">
        <v>31212000000</v>
      </c>
      <c r="G193" s="2">
        <v>8106000000</v>
      </c>
      <c r="H193" t="s">
        <v>12</v>
      </c>
      <c r="I193" t="s">
        <v>12</v>
      </c>
      <c r="J193" t="s">
        <v>19</v>
      </c>
      <c r="K193" t="s">
        <v>110</v>
      </c>
      <c r="L193">
        <f t="shared" si="2"/>
        <v>0.23143975770111547</v>
      </c>
    </row>
    <row r="194" spans="1:12" x14ac:dyDescent="0.2">
      <c r="A194">
        <v>208</v>
      </c>
      <c r="B194" t="s">
        <v>109</v>
      </c>
      <c r="C194" t="s">
        <v>16</v>
      </c>
      <c r="D194" s="1">
        <v>42035</v>
      </c>
      <c r="E194" s="2">
        <v>40339000000</v>
      </c>
      <c r="F194" s="2">
        <v>31292000000</v>
      </c>
      <c r="G194" s="2">
        <v>7592000000</v>
      </c>
      <c r="H194" t="s">
        <v>12</v>
      </c>
      <c r="I194" t="s">
        <v>12</v>
      </c>
      <c r="J194" t="s">
        <v>19</v>
      </c>
      <c r="K194" t="s">
        <v>110</v>
      </c>
      <c r="L194">
        <f t="shared" si="2"/>
        <v>0.22427427551501034</v>
      </c>
    </row>
    <row r="195" spans="1:12" x14ac:dyDescent="0.2">
      <c r="A195">
        <v>209</v>
      </c>
      <c r="B195" t="s">
        <v>109</v>
      </c>
      <c r="C195" t="s">
        <v>17</v>
      </c>
      <c r="D195" s="1">
        <v>42399</v>
      </c>
      <c r="E195" s="2">
        <v>39528000000</v>
      </c>
      <c r="F195" s="2">
        <v>30337000000</v>
      </c>
      <c r="G195" s="2">
        <v>7618000000</v>
      </c>
      <c r="H195" t="s">
        <v>12</v>
      </c>
      <c r="I195" t="s">
        <v>12</v>
      </c>
      <c r="J195" t="s">
        <v>19</v>
      </c>
      <c r="K195" t="s">
        <v>110</v>
      </c>
      <c r="L195">
        <f t="shared" ref="L195:L258" si="3">1-F195/E195</f>
        <v>0.23251872090669901</v>
      </c>
    </row>
    <row r="196" spans="1:12" x14ac:dyDescent="0.2">
      <c r="A196">
        <v>210</v>
      </c>
      <c r="B196" t="s">
        <v>111</v>
      </c>
      <c r="C196" t="s">
        <v>11</v>
      </c>
      <c r="D196" s="1">
        <v>41639</v>
      </c>
      <c r="E196" s="2">
        <v>3049500000</v>
      </c>
      <c r="F196" s="2">
        <v>1194400000</v>
      </c>
      <c r="G196" s="2">
        <v>920300000</v>
      </c>
      <c r="H196" s="2">
        <v>295700000</v>
      </c>
      <c r="I196" t="s">
        <v>12</v>
      </c>
      <c r="J196" t="s">
        <v>25</v>
      </c>
      <c r="K196" t="s">
        <v>30</v>
      </c>
      <c r="L196">
        <f t="shared" si="3"/>
        <v>0.60832923430070496</v>
      </c>
    </row>
    <row r="197" spans="1:12" x14ac:dyDescent="0.2">
      <c r="A197">
        <v>211</v>
      </c>
      <c r="B197" t="s">
        <v>111</v>
      </c>
      <c r="C197" t="s">
        <v>15</v>
      </c>
      <c r="D197" s="1">
        <v>42004</v>
      </c>
      <c r="E197" s="2">
        <v>3323600000</v>
      </c>
      <c r="F197" s="2">
        <v>1258600000</v>
      </c>
      <c r="G197" s="2">
        <v>981500000</v>
      </c>
      <c r="H197" s="2">
        <v>302000000</v>
      </c>
      <c r="I197" t="s">
        <v>12</v>
      </c>
      <c r="J197" t="s">
        <v>25</v>
      </c>
      <c r="K197" t="s">
        <v>30</v>
      </c>
      <c r="L197">
        <f t="shared" si="3"/>
        <v>0.62131423757371529</v>
      </c>
    </row>
    <row r="198" spans="1:12" x14ac:dyDescent="0.2">
      <c r="A198">
        <v>212</v>
      </c>
      <c r="B198" t="s">
        <v>111</v>
      </c>
      <c r="C198" t="s">
        <v>16</v>
      </c>
      <c r="D198" s="1">
        <v>42369</v>
      </c>
      <c r="E198" s="2">
        <v>3416000000</v>
      </c>
      <c r="F198" s="2">
        <v>1301200000</v>
      </c>
      <c r="G198" s="2">
        <v>1012100000</v>
      </c>
      <c r="H198" s="2">
        <v>259200000</v>
      </c>
      <c r="I198" t="s">
        <v>12</v>
      </c>
      <c r="J198" t="s">
        <v>25</v>
      </c>
      <c r="K198" t="s">
        <v>30</v>
      </c>
      <c r="L198">
        <f t="shared" si="3"/>
        <v>0.61908665105386418</v>
      </c>
    </row>
    <row r="199" spans="1:12" x14ac:dyDescent="0.2">
      <c r="A199">
        <v>213</v>
      </c>
      <c r="B199" t="s">
        <v>111</v>
      </c>
      <c r="C199" t="s">
        <v>17</v>
      </c>
      <c r="D199" s="1">
        <v>42735</v>
      </c>
      <c r="E199" s="2">
        <v>3714000000</v>
      </c>
      <c r="F199" s="2">
        <v>1371700000</v>
      </c>
      <c r="G199" s="2">
        <v>1101900000</v>
      </c>
      <c r="H199" s="2">
        <v>292800000</v>
      </c>
      <c r="I199" t="s">
        <v>12</v>
      </c>
      <c r="J199" t="s">
        <v>25</v>
      </c>
      <c r="K199" t="s">
        <v>30</v>
      </c>
      <c r="L199">
        <f t="shared" si="3"/>
        <v>0.63066774367259026</v>
      </c>
    </row>
    <row r="200" spans="1:12" x14ac:dyDescent="0.2">
      <c r="A200">
        <v>214</v>
      </c>
      <c r="B200" t="s">
        <v>112</v>
      </c>
      <c r="C200" t="s">
        <v>11</v>
      </c>
      <c r="D200" s="1">
        <v>41547</v>
      </c>
      <c r="E200" s="2">
        <v>8054000000</v>
      </c>
      <c r="F200" s="2">
        <v>3883000000</v>
      </c>
      <c r="G200" s="2">
        <v>2422000000</v>
      </c>
      <c r="H200" s="2">
        <v>494000000</v>
      </c>
      <c r="I200" t="s">
        <v>12</v>
      </c>
      <c r="J200" t="s">
        <v>25</v>
      </c>
      <c r="K200" t="s">
        <v>30</v>
      </c>
      <c r="L200">
        <f t="shared" si="3"/>
        <v>0.51787931462627268</v>
      </c>
    </row>
    <row r="201" spans="1:12" x14ac:dyDescent="0.2">
      <c r="A201">
        <v>215</v>
      </c>
      <c r="B201" t="s">
        <v>112</v>
      </c>
      <c r="C201" t="s">
        <v>15</v>
      </c>
      <c r="D201" s="1">
        <v>41912</v>
      </c>
      <c r="E201" s="2">
        <v>8446000000</v>
      </c>
      <c r="F201" s="2">
        <v>4145000000</v>
      </c>
      <c r="G201" s="2">
        <v>2145000000</v>
      </c>
      <c r="H201" s="2">
        <v>550000000</v>
      </c>
      <c r="I201" t="s">
        <v>12</v>
      </c>
      <c r="J201" t="s">
        <v>25</v>
      </c>
      <c r="K201" t="s">
        <v>30</v>
      </c>
      <c r="L201">
        <f t="shared" si="3"/>
        <v>0.50923514089509825</v>
      </c>
    </row>
    <row r="202" spans="1:12" x14ac:dyDescent="0.2">
      <c r="A202">
        <v>216</v>
      </c>
      <c r="B202" t="s">
        <v>112</v>
      </c>
      <c r="C202" t="s">
        <v>16</v>
      </c>
      <c r="D202" s="1">
        <v>42277</v>
      </c>
      <c r="E202" s="2">
        <v>10282000000</v>
      </c>
      <c r="F202" s="2">
        <v>5587000000</v>
      </c>
      <c r="G202" s="2">
        <v>2563000000</v>
      </c>
      <c r="H202" s="2">
        <v>632000000</v>
      </c>
      <c r="I202" t="s">
        <v>12</v>
      </c>
      <c r="J202" t="s">
        <v>25</v>
      </c>
      <c r="K202" t="s">
        <v>30</v>
      </c>
      <c r="L202">
        <f t="shared" si="3"/>
        <v>0.45662322505349151</v>
      </c>
    </row>
    <row r="203" spans="1:12" x14ac:dyDescent="0.2">
      <c r="A203">
        <v>217</v>
      </c>
      <c r="B203" t="s">
        <v>112</v>
      </c>
      <c r="C203" t="s">
        <v>17</v>
      </c>
      <c r="D203" s="1">
        <v>42643</v>
      </c>
      <c r="E203" s="2">
        <v>12483000000</v>
      </c>
      <c r="F203" s="2">
        <v>6492000000</v>
      </c>
      <c r="G203" s="2">
        <v>3005000000</v>
      </c>
      <c r="H203" s="2">
        <v>828000000</v>
      </c>
      <c r="I203" t="s">
        <v>12</v>
      </c>
      <c r="J203" t="s">
        <v>25</v>
      </c>
      <c r="K203" t="s">
        <v>30</v>
      </c>
      <c r="L203">
        <f t="shared" si="3"/>
        <v>0.47993270848353764</v>
      </c>
    </row>
    <row r="204" spans="1:12" x14ac:dyDescent="0.2">
      <c r="A204">
        <v>218</v>
      </c>
      <c r="B204" t="s">
        <v>113</v>
      </c>
      <c r="C204" t="s">
        <v>11</v>
      </c>
      <c r="D204" s="1">
        <v>41639</v>
      </c>
      <c r="E204" s="2">
        <v>22364000000</v>
      </c>
      <c r="F204" s="2">
        <v>18553000000</v>
      </c>
      <c r="G204" s="2">
        <v>1306000000</v>
      </c>
      <c r="H204" s="2">
        <v>556000000</v>
      </c>
      <c r="I204" t="s">
        <v>12</v>
      </c>
      <c r="J204" t="s">
        <v>83</v>
      </c>
      <c r="K204" t="s">
        <v>114</v>
      </c>
      <c r="L204">
        <f t="shared" si="3"/>
        <v>0.170407798247183</v>
      </c>
    </row>
    <row r="205" spans="1:12" x14ac:dyDescent="0.2">
      <c r="A205">
        <v>219</v>
      </c>
      <c r="B205" t="s">
        <v>113</v>
      </c>
      <c r="C205" t="s">
        <v>15</v>
      </c>
      <c r="D205" s="1">
        <v>42004</v>
      </c>
      <c r="E205" s="2">
        <v>24551000000</v>
      </c>
      <c r="F205" s="2">
        <v>19746000000</v>
      </c>
      <c r="G205" s="2">
        <v>1333000000</v>
      </c>
      <c r="H205" s="2">
        <v>613000000</v>
      </c>
      <c r="I205" t="s">
        <v>12</v>
      </c>
      <c r="J205" t="s">
        <v>83</v>
      </c>
      <c r="K205" t="s">
        <v>114</v>
      </c>
      <c r="L205">
        <f t="shared" si="3"/>
        <v>0.1957150421571423</v>
      </c>
    </row>
    <row r="206" spans="1:12" x14ac:dyDescent="0.2">
      <c r="A206">
        <v>220</v>
      </c>
      <c r="B206" t="s">
        <v>113</v>
      </c>
      <c r="C206" t="s">
        <v>16</v>
      </c>
      <c r="D206" s="1">
        <v>42369</v>
      </c>
      <c r="E206" s="2">
        <v>15742000000</v>
      </c>
      <c r="F206" s="2">
        <v>14415000000</v>
      </c>
      <c r="G206" s="2">
        <v>969000000</v>
      </c>
      <c r="H206" s="2">
        <v>466000000</v>
      </c>
      <c r="I206" t="s">
        <v>12</v>
      </c>
      <c r="J206" t="s">
        <v>83</v>
      </c>
      <c r="K206" t="s">
        <v>114</v>
      </c>
      <c r="L206">
        <f t="shared" si="3"/>
        <v>8.4296785668911189E-2</v>
      </c>
    </row>
    <row r="207" spans="1:12" x14ac:dyDescent="0.2">
      <c r="A207">
        <v>221</v>
      </c>
      <c r="B207" t="s">
        <v>113</v>
      </c>
      <c r="C207" t="s">
        <v>17</v>
      </c>
      <c r="D207" s="1">
        <v>42735</v>
      </c>
      <c r="E207" s="2">
        <v>9841000000</v>
      </c>
      <c r="F207" s="2">
        <v>9973000000</v>
      </c>
      <c r="G207" s="2">
        <v>815000000</v>
      </c>
      <c r="H207" s="2">
        <v>384000000</v>
      </c>
      <c r="I207" t="s">
        <v>12</v>
      </c>
      <c r="J207" t="s">
        <v>83</v>
      </c>
      <c r="K207" t="s">
        <v>114</v>
      </c>
      <c r="L207">
        <f t="shared" si="3"/>
        <v>-1.341327100904377E-2</v>
      </c>
    </row>
    <row r="208" spans="1:12" x14ac:dyDescent="0.2">
      <c r="A208">
        <v>222</v>
      </c>
      <c r="B208" t="s">
        <v>115</v>
      </c>
      <c r="C208" t="s">
        <v>11</v>
      </c>
      <c r="D208" s="1">
        <v>41639</v>
      </c>
      <c r="E208" s="2">
        <v>6932200000</v>
      </c>
      <c r="F208" s="2">
        <v>857700000</v>
      </c>
      <c r="G208" s="2">
        <v>1797000000</v>
      </c>
      <c r="H208" s="2">
        <v>1444100000</v>
      </c>
      <c r="I208" s="2">
        <v>342900000</v>
      </c>
      <c r="J208" t="s">
        <v>25</v>
      </c>
      <c r="K208" t="s">
        <v>66</v>
      </c>
      <c r="L208">
        <f t="shared" si="3"/>
        <v>0.87627304463229572</v>
      </c>
    </row>
    <row r="209" spans="1:12" x14ac:dyDescent="0.2">
      <c r="A209">
        <v>223</v>
      </c>
      <c r="B209" t="s">
        <v>115</v>
      </c>
      <c r="C209" t="s">
        <v>15</v>
      </c>
      <c r="D209" s="1">
        <v>42004</v>
      </c>
      <c r="E209" s="2">
        <v>9703300000</v>
      </c>
      <c r="F209" s="2">
        <v>1171000000</v>
      </c>
      <c r="G209" s="2">
        <v>2193400000</v>
      </c>
      <c r="H209" s="2">
        <v>1893400000</v>
      </c>
      <c r="I209" s="2">
        <v>489800000</v>
      </c>
      <c r="J209" t="s">
        <v>25</v>
      </c>
      <c r="K209" t="s">
        <v>66</v>
      </c>
      <c r="L209">
        <f t="shared" si="3"/>
        <v>0.87931940679974852</v>
      </c>
    </row>
    <row r="210" spans="1:12" x14ac:dyDescent="0.2">
      <c r="A210">
        <v>224</v>
      </c>
      <c r="B210" t="s">
        <v>115</v>
      </c>
      <c r="C210" t="s">
        <v>16</v>
      </c>
      <c r="D210" s="1">
        <v>42369</v>
      </c>
      <c r="E210" s="2">
        <v>10763800000</v>
      </c>
      <c r="F210" s="2">
        <v>1240400000</v>
      </c>
      <c r="G210" s="2">
        <v>2143600000</v>
      </c>
      <c r="H210" s="2">
        <v>2012800000</v>
      </c>
      <c r="I210" s="2">
        <v>382600000</v>
      </c>
      <c r="J210" t="s">
        <v>25</v>
      </c>
      <c r="K210" t="s">
        <v>66</v>
      </c>
      <c r="L210">
        <f t="shared" si="3"/>
        <v>0.88476188706590608</v>
      </c>
    </row>
    <row r="211" spans="1:12" x14ac:dyDescent="0.2">
      <c r="A211">
        <v>225</v>
      </c>
      <c r="B211" t="s">
        <v>115</v>
      </c>
      <c r="C211" t="s">
        <v>17</v>
      </c>
      <c r="D211" s="1">
        <v>42735</v>
      </c>
      <c r="E211" s="2">
        <v>11448800000</v>
      </c>
      <c r="F211" s="2">
        <v>1478700000</v>
      </c>
      <c r="G211" s="2">
        <v>1972900000</v>
      </c>
      <c r="H211" s="2">
        <v>1973300000</v>
      </c>
      <c r="I211" s="2">
        <v>385600000</v>
      </c>
      <c r="J211" t="s">
        <v>25</v>
      </c>
      <c r="K211" t="s">
        <v>66</v>
      </c>
      <c r="L211">
        <f t="shared" si="3"/>
        <v>0.87084235902452656</v>
      </c>
    </row>
    <row r="212" spans="1:12" x14ac:dyDescent="0.2">
      <c r="A212">
        <v>230</v>
      </c>
      <c r="B212" t="s">
        <v>116</v>
      </c>
      <c r="C212" t="s">
        <v>11</v>
      </c>
      <c r="D212" s="1">
        <v>41274</v>
      </c>
      <c r="E212" s="2">
        <v>8735700000</v>
      </c>
      <c r="F212" s="2">
        <v>7174000000</v>
      </c>
      <c r="G212" s="2">
        <v>488300000</v>
      </c>
      <c r="H212" t="s">
        <v>12</v>
      </c>
      <c r="I212" s="2">
        <v>282900000</v>
      </c>
      <c r="J212" t="s">
        <v>59</v>
      </c>
      <c r="K212" t="s">
        <v>117</v>
      </c>
      <c r="L212">
        <f t="shared" si="3"/>
        <v>0.17877216479503644</v>
      </c>
    </row>
    <row r="213" spans="1:12" x14ac:dyDescent="0.2">
      <c r="A213">
        <v>231</v>
      </c>
      <c r="B213" t="s">
        <v>116</v>
      </c>
      <c r="C213" t="s">
        <v>15</v>
      </c>
      <c r="D213" s="1">
        <v>41639</v>
      </c>
      <c r="E213" s="2">
        <v>8468100000</v>
      </c>
      <c r="F213" s="2">
        <v>6875400000</v>
      </c>
      <c r="G213" s="2">
        <v>497400000</v>
      </c>
      <c r="H213" t="s">
        <v>12</v>
      </c>
      <c r="I213" s="2">
        <v>299900000</v>
      </c>
      <c r="J213" t="s">
        <v>59</v>
      </c>
      <c r="K213" t="s">
        <v>117</v>
      </c>
      <c r="L213">
        <f t="shared" si="3"/>
        <v>0.1880823325185107</v>
      </c>
    </row>
    <row r="214" spans="1:12" x14ac:dyDescent="0.2">
      <c r="A214">
        <v>232</v>
      </c>
      <c r="B214" t="s">
        <v>116</v>
      </c>
      <c r="C214" t="s">
        <v>16</v>
      </c>
      <c r="D214" s="1">
        <v>42004</v>
      </c>
      <c r="E214" s="2">
        <v>8570000000</v>
      </c>
      <c r="F214" s="2">
        <v>6903500000</v>
      </c>
      <c r="G214" s="2">
        <v>547000000</v>
      </c>
      <c r="H214" t="s">
        <v>12</v>
      </c>
      <c r="I214" s="2">
        <v>280900000</v>
      </c>
      <c r="J214" t="s">
        <v>59</v>
      </c>
      <c r="K214" t="s">
        <v>117</v>
      </c>
      <c r="L214">
        <f t="shared" si="3"/>
        <v>0.19445740956826141</v>
      </c>
    </row>
    <row r="215" spans="1:12" x14ac:dyDescent="0.2">
      <c r="A215">
        <v>233</v>
      </c>
      <c r="B215" t="s">
        <v>116</v>
      </c>
      <c r="C215" t="s">
        <v>17</v>
      </c>
      <c r="D215" s="1">
        <v>42369</v>
      </c>
      <c r="E215" s="2">
        <v>7997000000</v>
      </c>
      <c r="F215" s="2">
        <v>6460300000</v>
      </c>
      <c r="G215" s="2">
        <v>646000000</v>
      </c>
      <c r="H215" t="s">
        <v>12</v>
      </c>
      <c r="I215" s="2">
        <v>285500000</v>
      </c>
      <c r="J215" t="s">
        <v>59</v>
      </c>
      <c r="K215" t="s">
        <v>117</v>
      </c>
      <c r="L215">
        <f t="shared" si="3"/>
        <v>0.19215955983493815</v>
      </c>
    </row>
    <row r="216" spans="1:12" x14ac:dyDescent="0.2">
      <c r="A216">
        <v>234</v>
      </c>
      <c r="B216" t="s">
        <v>118</v>
      </c>
      <c r="C216" t="s">
        <v>11</v>
      </c>
      <c r="D216" s="1">
        <v>41274</v>
      </c>
      <c r="E216" s="2">
        <v>17621000000</v>
      </c>
      <c r="F216" s="2">
        <v>4610000000</v>
      </c>
      <c r="G216" s="2">
        <v>5017000000</v>
      </c>
      <c r="H216" s="2">
        <v>3904000000</v>
      </c>
      <c r="I216" t="s">
        <v>12</v>
      </c>
      <c r="J216" t="s">
        <v>25</v>
      </c>
      <c r="K216" t="s">
        <v>28</v>
      </c>
      <c r="L216">
        <f t="shared" si="3"/>
        <v>0.73838034163781852</v>
      </c>
    </row>
    <row r="217" spans="1:12" x14ac:dyDescent="0.2">
      <c r="A217">
        <v>235</v>
      </c>
      <c r="B217" t="s">
        <v>118</v>
      </c>
      <c r="C217" t="s">
        <v>15</v>
      </c>
      <c r="D217" s="1">
        <v>41639</v>
      </c>
      <c r="E217" s="2">
        <v>16385000000</v>
      </c>
      <c r="F217" s="2">
        <v>4619000000</v>
      </c>
      <c r="G217" s="2">
        <v>4939000000</v>
      </c>
      <c r="H217" s="2">
        <v>3731000000</v>
      </c>
      <c r="I217" t="s">
        <v>12</v>
      </c>
      <c r="J217" t="s">
        <v>25</v>
      </c>
      <c r="K217" t="s">
        <v>28</v>
      </c>
      <c r="L217">
        <f t="shared" si="3"/>
        <v>0.71809581934696376</v>
      </c>
    </row>
    <row r="218" spans="1:12" x14ac:dyDescent="0.2">
      <c r="A218">
        <v>236</v>
      </c>
      <c r="B218" t="s">
        <v>118</v>
      </c>
      <c r="C218" t="s">
        <v>16</v>
      </c>
      <c r="D218" s="1">
        <v>42004</v>
      </c>
      <c r="E218" s="2">
        <v>15879000000</v>
      </c>
      <c r="F218" s="2">
        <v>3932000000</v>
      </c>
      <c r="G218" s="2">
        <v>4822000000</v>
      </c>
      <c r="H218" s="2">
        <v>4534000000</v>
      </c>
      <c r="I218" t="s">
        <v>12</v>
      </c>
      <c r="J218" t="s">
        <v>25</v>
      </c>
      <c r="K218" t="s">
        <v>28</v>
      </c>
      <c r="L218">
        <f t="shared" si="3"/>
        <v>0.75237735373764092</v>
      </c>
    </row>
    <row r="219" spans="1:12" x14ac:dyDescent="0.2">
      <c r="A219">
        <v>237</v>
      </c>
      <c r="B219" t="s">
        <v>118</v>
      </c>
      <c r="C219" t="s">
        <v>17</v>
      </c>
      <c r="D219" s="1">
        <v>42369</v>
      </c>
      <c r="E219" s="2">
        <v>16560000000</v>
      </c>
      <c r="F219" s="2">
        <v>3909000000</v>
      </c>
      <c r="G219" s="2">
        <v>4841000000</v>
      </c>
      <c r="H219" s="2">
        <v>5920000000</v>
      </c>
      <c r="I219" t="s">
        <v>12</v>
      </c>
      <c r="J219" t="s">
        <v>25</v>
      </c>
      <c r="K219" t="s">
        <v>28</v>
      </c>
      <c r="L219">
        <f t="shared" si="3"/>
        <v>0.76394927536231882</v>
      </c>
    </row>
    <row r="220" spans="1:12" x14ac:dyDescent="0.2">
      <c r="A220">
        <v>238</v>
      </c>
      <c r="B220" t="s">
        <v>119</v>
      </c>
      <c r="C220" t="s">
        <v>11</v>
      </c>
      <c r="D220" s="1">
        <v>41274</v>
      </c>
      <c r="E220" s="2">
        <v>7249000000</v>
      </c>
      <c r="F220" s="2">
        <v>2349000000</v>
      </c>
      <c r="G220" s="2">
        <v>2529000000</v>
      </c>
      <c r="H220" s="2">
        <v>886000000</v>
      </c>
      <c r="I220" s="2">
        <v>395000000</v>
      </c>
      <c r="J220" t="s">
        <v>25</v>
      </c>
      <c r="K220" t="s">
        <v>30</v>
      </c>
      <c r="L220">
        <f t="shared" si="3"/>
        <v>0.67595530417988692</v>
      </c>
    </row>
    <row r="221" spans="1:12" x14ac:dyDescent="0.2">
      <c r="A221">
        <v>239</v>
      </c>
      <c r="B221" t="s">
        <v>119</v>
      </c>
      <c r="C221" t="s">
        <v>15</v>
      </c>
      <c r="D221" s="1">
        <v>41639</v>
      </c>
      <c r="E221" s="2">
        <v>7143000000</v>
      </c>
      <c r="F221" s="2">
        <v>2174000000</v>
      </c>
      <c r="G221" s="2">
        <v>2678000000</v>
      </c>
      <c r="H221" s="2">
        <v>861000000</v>
      </c>
      <c r="I221" s="2">
        <v>410000000</v>
      </c>
      <c r="J221" t="s">
        <v>25</v>
      </c>
      <c r="K221" t="s">
        <v>30</v>
      </c>
      <c r="L221">
        <f t="shared" si="3"/>
        <v>0.69564608707825837</v>
      </c>
    </row>
    <row r="222" spans="1:12" x14ac:dyDescent="0.2">
      <c r="A222">
        <v>240</v>
      </c>
      <c r="B222" t="s">
        <v>119</v>
      </c>
      <c r="C222" t="s">
        <v>16</v>
      </c>
      <c r="D222" s="1">
        <v>42004</v>
      </c>
      <c r="E222" s="2">
        <v>7380000000</v>
      </c>
      <c r="F222" s="2">
        <v>2210000000</v>
      </c>
      <c r="G222" s="2">
        <v>2817000000</v>
      </c>
      <c r="H222" s="2">
        <v>817000000</v>
      </c>
      <c r="I222" s="2">
        <v>438000000</v>
      </c>
      <c r="J222" t="s">
        <v>25</v>
      </c>
      <c r="K222" t="s">
        <v>30</v>
      </c>
      <c r="L222">
        <f t="shared" si="3"/>
        <v>0.70054200542005418</v>
      </c>
    </row>
    <row r="223" spans="1:12" x14ac:dyDescent="0.2">
      <c r="A223">
        <v>241</v>
      </c>
      <c r="B223" t="s">
        <v>119</v>
      </c>
      <c r="C223" t="s">
        <v>17</v>
      </c>
      <c r="D223" s="1">
        <v>42369</v>
      </c>
      <c r="E223" s="2">
        <v>7477000000</v>
      </c>
      <c r="F223" s="2">
        <v>2173000000</v>
      </c>
      <c r="G223" s="2">
        <v>2996000000</v>
      </c>
      <c r="H223" s="2">
        <v>876000000</v>
      </c>
      <c r="I223" s="2">
        <v>495000000</v>
      </c>
      <c r="J223" t="s">
        <v>25</v>
      </c>
      <c r="K223" t="s">
        <v>30</v>
      </c>
      <c r="L223">
        <f t="shared" si="3"/>
        <v>0.709375417948375</v>
      </c>
    </row>
    <row r="224" spans="1:12" x14ac:dyDescent="0.2">
      <c r="A224">
        <v>242</v>
      </c>
      <c r="B224" t="s">
        <v>120</v>
      </c>
      <c r="C224" t="s">
        <v>11</v>
      </c>
      <c r="D224" s="1">
        <v>41639</v>
      </c>
      <c r="E224" s="2">
        <v>7436600000</v>
      </c>
      <c r="F224" s="2">
        <v>5879100000</v>
      </c>
      <c r="G224" s="2">
        <v>702300000</v>
      </c>
      <c r="H224" t="s">
        <v>12</v>
      </c>
      <c r="I224" t="s">
        <v>12</v>
      </c>
      <c r="J224" t="s">
        <v>19</v>
      </c>
      <c r="K224" t="s">
        <v>121</v>
      </c>
      <c r="L224">
        <f t="shared" si="3"/>
        <v>0.20943710835596907</v>
      </c>
    </row>
    <row r="225" spans="1:12" x14ac:dyDescent="0.2">
      <c r="A225">
        <v>243</v>
      </c>
      <c r="B225" t="s">
        <v>120</v>
      </c>
      <c r="C225" t="s">
        <v>15</v>
      </c>
      <c r="D225" s="1">
        <v>42004</v>
      </c>
      <c r="E225" s="2">
        <v>8305100000</v>
      </c>
      <c r="F225" s="2">
        <v>6548700000</v>
      </c>
      <c r="G225" s="2">
        <v>792700000</v>
      </c>
      <c r="H225" t="s">
        <v>12</v>
      </c>
      <c r="I225" t="s">
        <v>12</v>
      </c>
      <c r="J225" t="s">
        <v>19</v>
      </c>
      <c r="K225" t="s">
        <v>121</v>
      </c>
      <c r="L225">
        <f t="shared" si="3"/>
        <v>0.21148450951824782</v>
      </c>
    </row>
    <row r="226" spans="1:12" x14ac:dyDescent="0.2">
      <c r="A226">
        <v>244</v>
      </c>
      <c r="B226" t="s">
        <v>120</v>
      </c>
      <c r="C226" t="s">
        <v>16</v>
      </c>
      <c r="D226" s="1">
        <v>42369</v>
      </c>
      <c r="E226" s="2">
        <v>8023200000</v>
      </c>
      <c r="F226" s="2">
        <v>6320100000</v>
      </c>
      <c r="G226" s="2">
        <v>763400000</v>
      </c>
      <c r="H226" t="s">
        <v>12</v>
      </c>
      <c r="I226" t="s">
        <v>12</v>
      </c>
      <c r="J226" t="s">
        <v>19</v>
      </c>
      <c r="K226" t="s">
        <v>121</v>
      </c>
      <c r="L226">
        <f t="shared" si="3"/>
        <v>0.21227191145677538</v>
      </c>
    </row>
    <row r="227" spans="1:12" x14ac:dyDescent="0.2">
      <c r="A227">
        <v>245</v>
      </c>
      <c r="B227" t="s">
        <v>120</v>
      </c>
      <c r="C227" t="s">
        <v>17</v>
      </c>
      <c r="D227" s="1">
        <v>42735</v>
      </c>
      <c r="E227" s="2">
        <v>9071000000</v>
      </c>
      <c r="F227" s="2">
        <v>7137900000</v>
      </c>
      <c r="G227" s="2">
        <v>1707200000</v>
      </c>
      <c r="H227" t="s">
        <v>12</v>
      </c>
      <c r="I227" t="s">
        <v>12</v>
      </c>
      <c r="J227" t="s">
        <v>19</v>
      </c>
      <c r="K227" t="s">
        <v>121</v>
      </c>
      <c r="L227">
        <f t="shared" si="3"/>
        <v>0.21310770587586814</v>
      </c>
    </row>
    <row r="228" spans="1:12" x14ac:dyDescent="0.2">
      <c r="A228">
        <v>246</v>
      </c>
      <c r="B228" t="s">
        <v>122</v>
      </c>
      <c r="C228" t="s">
        <v>11</v>
      </c>
      <c r="D228" s="1">
        <v>41274</v>
      </c>
      <c r="E228" s="2">
        <v>1847186000</v>
      </c>
      <c r="F228" s="2">
        <v>667208000</v>
      </c>
      <c r="G228" s="2">
        <v>93782000</v>
      </c>
      <c r="H228" t="s">
        <v>12</v>
      </c>
      <c r="I228" s="2">
        <v>445875000</v>
      </c>
      <c r="J228" t="s">
        <v>52</v>
      </c>
      <c r="K228" t="s">
        <v>53</v>
      </c>
      <c r="L228">
        <f t="shared" si="3"/>
        <v>0.6387976089034888</v>
      </c>
    </row>
    <row r="229" spans="1:12" x14ac:dyDescent="0.2">
      <c r="A229">
        <v>247</v>
      </c>
      <c r="B229" t="s">
        <v>122</v>
      </c>
      <c r="C229" t="s">
        <v>15</v>
      </c>
      <c r="D229" s="1">
        <v>41639</v>
      </c>
      <c r="E229" s="2">
        <v>2135539000</v>
      </c>
      <c r="F229" s="2">
        <v>771403000</v>
      </c>
      <c r="G229" s="2">
        <v>117073000</v>
      </c>
      <c r="H229" t="s">
        <v>12</v>
      </c>
      <c r="I229" s="2">
        <v>560637000</v>
      </c>
      <c r="J229" t="s">
        <v>52</v>
      </c>
      <c r="K229" t="s">
        <v>53</v>
      </c>
      <c r="L229">
        <f t="shared" si="3"/>
        <v>0.63877831310971134</v>
      </c>
    </row>
    <row r="230" spans="1:12" x14ac:dyDescent="0.2">
      <c r="A230">
        <v>248</v>
      </c>
      <c r="B230" t="s">
        <v>122</v>
      </c>
      <c r="C230" t="s">
        <v>16</v>
      </c>
      <c r="D230" s="1">
        <v>42004</v>
      </c>
      <c r="E230" s="2">
        <v>2396998000</v>
      </c>
      <c r="F230" s="2">
        <v>864526000</v>
      </c>
      <c r="G230" s="2">
        <v>102077000</v>
      </c>
      <c r="H230" t="s">
        <v>12</v>
      </c>
      <c r="I230" s="2">
        <v>628573000</v>
      </c>
      <c r="J230" t="s">
        <v>52</v>
      </c>
      <c r="K230" t="s">
        <v>53</v>
      </c>
      <c r="L230">
        <f t="shared" si="3"/>
        <v>0.63932969489336244</v>
      </c>
    </row>
    <row r="231" spans="1:12" x14ac:dyDescent="0.2">
      <c r="A231">
        <v>249</v>
      </c>
      <c r="B231" t="s">
        <v>122</v>
      </c>
      <c r="C231" t="s">
        <v>17</v>
      </c>
      <c r="D231" s="1">
        <v>42369</v>
      </c>
      <c r="E231" s="2">
        <v>2490821000</v>
      </c>
      <c r="F231" s="2">
        <v>904336000</v>
      </c>
      <c r="G231" s="2">
        <v>97578000</v>
      </c>
      <c r="H231" t="s">
        <v>12</v>
      </c>
      <c r="I231" s="2">
        <v>639542000</v>
      </c>
      <c r="J231" t="s">
        <v>52</v>
      </c>
      <c r="K231" t="s">
        <v>53</v>
      </c>
      <c r="L231">
        <f t="shared" si="3"/>
        <v>0.63693256159314537</v>
      </c>
    </row>
    <row r="232" spans="1:12" x14ac:dyDescent="0.2">
      <c r="A232">
        <v>254</v>
      </c>
      <c r="B232" t="s">
        <v>123</v>
      </c>
      <c r="C232" t="s">
        <v>11</v>
      </c>
      <c r="D232" s="1">
        <v>41420</v>
      </c>
      <c r="E232" s="2">
        <v>13469300000</v>
      </c>
      <c r="F232" s="2">
        <v>10104400000</v>
      </c>
      <c r="G232" s="2">
        <v>2065900000</v>
      </c>
      <c r="H232" t="s">
        <v>12</v>
      </c>
      <c r="I232" t="s">
        <v>12</v>
      </c>
      <c r="J232" t="s">
        <v>36</v>
      </c>
      <c r="K232" t="s">
        <v>124</v>
      </c>
      <c r="L232">
        <f t="shared" si="3"/>
        <v>0.24981996094823045</v>
      </c>
    </row>
    <row r="233" spans="1:12" x14ac:dyDescent="0.2">
      <c r="A233">
        <v>255</v>
      </c>
      <c r="B233" t="s">
        <v>123</v>
      </c>
      <c r="C233" t="s">
        <v>15</v>
      </c>
      <c r="D233" s="1">
        <v>41784</v>
      </c>
      <c r="E233" s="2">
        <v>11838200000</v>
      </c>
      <c r="F233" s="2">
        <v>8910800000</v>
      </c>
      <c r="G233" s="2">
        <v>1778900000</v>
      </c>
      <c r="H233" t="s">
        <v>12</v>
      </c>
      <c r="I233" t="s">
        <v>12</v>
      </c>
      <c r="J233" t="s">
        <v>36</v>
      </c>
      <c r="K233" t="s">
        <v>124</v>
      </c>
      <c r="L233">
        <f t="shared" si="3"/>
        <v>0.24728421550573565</v>
      </c>
    </row>
    <row r="234" spans="1:12" x14ac:dyDescent="0.2">
      <c r="A234">
        <v>256</v>
      </c>
      <c r="B234" t="s">
        <v>123</v>
      </c>
      <c r="C234" t="s">
        <v>16</v>
      </c>
      <c r="D234" s="1">
        <v>42155</v>
      </c>
      <c r="E234" s="2">
        <v>11937000000</v>
      </c>
      <c r="F234" s="2">
        <v>9061400000</v>
      </c>
      <c r="G234" s="2">
        <v>1545300000</v>
      </c>
      <c r="H234" t="s">
        <v>12</v>
      </c>
      <c r="I234" t="s">
        <v>12</v>
      </c>
      <c r="J234" t="s">
        <v>36</v>
      </c>
      <c r="K234" t="s">
        <v>124</v>
      </c>
      <c r="L234">
        <f t="shared" si="3"/>
        <v>0.24089804808578374</v>
      </c>
    </row>
    <row r="235" spans="1:12" x14ac:dyDescent="0.2">
      <c r="A235">
        <v>257</v>
      </c>
      <c r="B235" t="s">
        <v>123</v>
      </c>
      <c r="C235" t="s">
        <v>17</v>
      </c>
      <c r="D235" s="1">
        <v>42519</v>
      </c>
      <c r="E235" s="2">
        <v>11642900000</v>
      </c>
      <c r="F235" s="2">
        <v>8552100000</v>
      </c>
      <c r="G235" s="2">
        <v>2209400000</v>
      </c>
      <c r="H235" t="s">
        <v>12</v>
      </c>
      <c r="I235" t="s">
        <v>12</v>
      </c>
      <c r="J235" t="s">
        <v>36</v>
      </c>
      <c r="K235" t="s">
        <v>124</v>
      </c>
      <c r="L235">
        <f t="shared" si="3"/>
        <v>0.26546650748524847</v>
      </c>
    </row>
    <row r="236" spans="1:12" x14ac:dyDescent="0.2">
      <c r="A236">
        <v>258</v>
      </c>
      <c r="B236" t="s">
        <v>125</v>
      </c>
      <c r="C236" t="s">
        <v>11</v>
      </c>
      <c r="D236" s="1">
        <v>41455</v>
      </c>
      <c r="E236" s="2">
        <v>101093000000</v>
      </c>
      <c r="F236" s="2">
        <v>96172000000</v>
      </c>
      <c r="G236" s="2">
        <v>2875000000</v>
      </c>
      <c r="H236" t="s">
        <v>12</v>
      </c>
      <c r="I236" s="2">
        <v>158000000</v>
      </c>
      <c r="J236" t="s">
        <v>25</v>
      </c>
      <c r="K236" t="s">
        <v>28</v>
      </c>
      <c r="L236">
        <f t="shared" si="3"/>
        <v>4.8677950006429715E-2</v>
      </c>
    </row>
    <row r="237" spans="1:12" x14ac:dyDescent="0.2">
      <c r="A237">
        <v>259</v>
      </c>
      <c r="B237" t="s">
        <v>125</v>
      </c>
      <c r="C237" t="s">
        <v>15</v>
      </c>
      <c r="D237" s="1">
        <v>41820</v>
      </c>
      <c r="E237" s="2">
        <v>91084000000</v>
      </c>
      <c r="F237" s="2">
        <v>85923000000</v>
      </c>
      <c r="G237" s="2">
        <v>3028000000</v>
      </c>
      <c r="H237" t="s">
        <v>12</v>
      </c>
      <c r="I237" s="2">
        <v>223000000</v>
      </c>
      <c r="J237" t="s">
        <v>25</v>
      </c>
      <c r="K237" t="s">
        <v>28</v>
      </c>
      <c r="L237">
        <f t="shared" si="3"/>
        <v>5.6661982345966311E-2</v>
      </c>
    </row>
    <row r="238" spans="1:12" x14ac:dyDescent="0.2">
      <c r="A238">
        <v>260</v>
      </c>
      <c r="B238" t="s">
        <v>125</v>
      </c>
      <c r="C238" t="s">
        <v>16</v>
      </c>
      <c r="D238" s="1">
        <v>42185</v>
      </c>
      <c r="E238" s="2">
        <v>102531000000</v>
      </c>
      <c r="F238" s="2">
        <v>96819000000</v>
      </c>
      <c r="G238" s="2">
        <v>3240000000</v>
      </c>
      <c r="H238" t="s">
        <v>12</v>
      </c>
      <c r="I238" s="2">
        <v>281000000</v>
      </c>
      <c r="J238" t="s">
        <v>25</v>
      </c>
      <c r="K238" t="s">
        <v>28</v>
      </c>
      <c r="L238">
        <f t="shared" si="3"/>
        <v>5.570998039617292E-2</v>
      </c>
    </row>
    <row r="239" spans="1:12" x14ac:dyDescent="0.2">
      <c r="A239">
        <v>261</v>
      </c>
      <c r="B239" t="s">
        <v>125</v>
      </c>
      <c r="C239" t="s">
        <v>17</v>
      </c>
      <c r="D239" s="1">
        <v>42551</v>
      </c>
      <c r="E239" s="2">
        <v>121546000000</v>
      </c>
      <c r="F239" s="2">
        <v>115003000000</v>
      </c>
      <c r="G239" s="2">
        <v>3648000000</v>
      </c>
      <c r="H239" t="s">
        <v>12</v>
      </c>
      <c r="I239" s="2">
        <v>459000000</v>
      </c>
      <c r="J239" t="s">
        <v>25</v>
      </c>
      <c r="K239" t="s">
        <v>28</v>
      </c>
      <c r="L239">
        <f t="shared" si="3"/>
        <v>5.3831471212545057E-2</v>
      </c>
    </row>
    <row r="240" spans="1:12" x14ac:dyDescent="0.2">
      <c r="A240">
        <v>262</v>
      </c>
      <c r="B240" t="s">
        <v>126</v>
      </c>
      <c r="C240" t="s">
        <v>11</v>
      </c>
      <c r="D240" s="1">
        <v>41639</v>
      </c>
      <c r="E240" s="2">
        <v>55656000000</v>
      </c>
      <c r="F240" s="2">
        <v>41454000000</v>
      </c>
      <c r="G240" s="2">
        <v>6528000000</v>
      </c>
      <c r="H240" s="2">
        <v>2046000000</v>
      </c>
      <c r="I240" t="s">
        <v>12</v>
      </c>
      <c r="J240" t="s">
        <v>13</v>
      </c>
      <c r="K240" t="s">
        <v>127</v>
      </c>
      <c r="L240">
        <f t="shared" si="3"/>
        <v>0.25517464424320824</v>
      </c>
    </row>
    <row r="241" spans="1:12" x14ac:dyDescent="0.2">
      <c r="A241">
        <v>263</v>
      </c>
      <c r="B241" t="s">
        <v>126</v>
      </c>
      <c r="C241" t="s">
        <v>15</v>
      </c>
      <c r="D241" s="1">
        <v>42004</v>
      </c>
      <c r="E241" s="2">
        <v>55184000000</v>
      </c>
      <c r="F241" s="2">
        <v>41342000000</v>
      </c>
      <c r="G241" s="2">
        <v>8148000000</v>
      </c>
      <c r="H241" s="2">
        <v>2380000000</v>
      </c>
      <c r="I241" t="s">
        <v>12</v>
      </c>
      <c r="J241" t="s">
        <v>13</v>
      </c>
      <c r="K241" t="s">
        <v>127</v>
      </c>
      <c r="L241">
        <f t="shared" si="3"/>
        <v>0.25083357494926062</v>
      </c>
    </row>
    <row r="242" spans="1:12" x14ac:dyDescent="0.2">
      <c r="A242">
        <v>264</v>
      </c>
      <c r="B242" t="s">
        <v>126</v>
      </c>
      <c r="C242" t="s">
        <v>16</v>
      </c>
      <c r="D242" s="1">
        <v>42369</v>
      </c>
      <c r="E242" s="2">
        <v>47011000000</v>
      </c>
      <c r="F242" s="2">
        <v>34133000000</v>
      </c>
      <c r="G242" s="2">
        <v>6974000000</v>
      </c>
      <c r="H242" s="2">
        <v>2119000000</v>
      </c>
      <c r="I242" t="s">
        <v>12</v>
      </c>
      <c r="J242" t="s">
        <v>13</v>
      </c>
      <c r="K242" t="s">
        <v>127</v>
      </c>
      <c r="L242">
        <f t="shared" si="3"/>
        <v>0.27393588734551488</v>
      </c>
    </row>
    <row r="243" spans="1:12" x14ac:dyDescent="0.2">
      <c r="A243">
        <v>265</v>
      </c>
      <c r="B243" t="s">
        <v>126</v>
      </c>
      <c r="C243" t="s">
        <v>17</v>
      </c>
      <c r="D243" s="1">
        <v>42735</v>
      </c>
      <c r="E243" s="2">
        <v>38537000000</v>
      </c>
      <c r="F243" s="2">
        <v>28905000000</v>
      </c>
      <c r="G243" s="2">
        <v>6588000000</v>
      </c>
      <c r="H243" s="2">
        <v>1951000000</v>
      </c>
      <c r="I243" t="s">
        <v>12</v>
      </c>
      <c r="J243" t="s">
        <v>13</v>
      </c>
      <c r="K243" t="s">
        <v>127</v>
      </c>
      <c r="L243">
        <f t="shared" si="3"/>
        <v>0.2499416145522485</v>
      </c>
    </row>
    <row r="244" spans="1:12" x14ac:dyDescent="0.2">
      <c r="A244">
        <v>266</v>
      </c>
      <c r="B244" t="s">
        <v>128</v>
      </c>
      <c r="C244" t="s">
        <v>11</v>
      </c>
      <c r="D244" s="1">
        <v>41274</v>
      </c>
      <c r="E244" s="2">
        <v>17936000000</v>
      </c>
      <c r="F244" s="2">
        <v>12620000000</v>
      </c>
      <c r="G244" s="2">
        <v>2096000000</v>
      </c>
      <c r="H244" t="s">
        <v>12</v>
      </c>
      <c r="I244" s="2">
        <v>-6000000</v>
      </c>
      <c r="J244" t="s">
        <v>47</v>
      </c>
      <c r="K244" t="s">
        <v>50</v>
      </c>
      <c r="L244">
        <f t="shared" si="3"/>
        <v>0.29638715432649421</v>
      </c>
    </row>
    <row r="245" spans="1:12" x14ac:dyDescent="0.2">
      <c r="A245">
        <v>267</v>
      </c>
      <c r="B245" t="s">
        <v>128</v>
      </c>
      <c r="C245" t="s">
        <v>15</v>
      </c>
      <c r="D245" s="1">
        <v>41639</v>
      </c>
      <c r="E245" s="2">
        <v>19261000000</v>
      </c>
      <c r="F245" s="2">
        <v>12522000000</v>
      </c>
      <c r="G245" s="2">
        <v>2211000000</v>
      </c>
      <c r="H245" t="s">
        <v>12</v>
      </c>
      <c r="I245" s="2">
        <v>15000000</v>
      </c>
      <c r="J245" t="s">
        <v>47</v>
      </c>
      <c r="K245" t="s">
        <v>50</v>
      </c>
      <c r="L245">
        <f t="shared" si="3"/>
        <v>0.34987799179689527</v>
      </c>
    </row>
    <row r="246" spans="1:12" x14ac:dyDescent="0.2">
      <c r="A246">
        <v>268</v>
      </c>
      <c r="B246" t="s">
        <v>128</v>
      </c>
      <c r="C246" t="s">
        <v>16</v>
      </c>
      <c r="D246" s="1">
        <v>42004</v>
      </c>
      <c r="E246" s="2">
        <v>19171000000</v>
      </c>
      <c r="F246" s="2">
        <v>13241000000</v>
      </c>
      <c r="G246" s="2">
        <v>2245000000</v>
      </c>
      <c r="H246" t="s">
        <v>12</v>
      </c>
      <c r="I246" s="2">
        <v>-82000000</v>
      </c>
      <c r="J246" t="s">
        <v>47</v>
      </c>
      <c r="K246" t="s">
        <v>50</v>
      </c>
      <c r="L246">
        <f t="shared" si="3"/>
        <v>0.30932137082051014</v>
      </c>
    </row>
    <row r="247" spans="1:12" x14ac:dyDescent="0.2">
      <c r="A247">
        <v>269</v>
      </c>
      <c r="B247" t="s">
        <v>128</v>
      </c>
      <c r="C247" t="s">
        <v>17</v>
      </c>
      <c r="D247" s="1">
        <v>42369</v>
      </c>
      <c r="E247" s="2">
        <v>18987000000</v>
      </c>
      <c r="F247" s="2">
        <v>12968000000</v>
      </c>
      <c r="G247" s="2">
        <v>2270000000</v>
      </c>
      <c r="H247" t="s">
        <v>12</v>
      </c>
      <c r="I247" s="2">
        <v>120000000</v>
      </c>
      <c r="J247" t="s">
        <v>47</v>
      </c>
      <c r="K247" t="s">
        <v>50</v>
      </c>
      <c r="L247">
        <f t="shared" si="3"/>
        <v>0.31700637278137678</v>
      </c>
    </row>
    <row r="248" spans="1:12" x14ac:dyDescent="0.2">
      <c r="A248">
        <v>270</v>
      </c>
      <c r="B248" t="s">
        <v>129</v>
      </c>
      <c r="C248" t="s">
        <v>11</v>
      </c>
      <c r="D248" s="1">
        <v>41274</v>
      </c>
      <c r="E248" s="2">
        <v>6514099000</v>
      </c>
      <c r="F248" s="2">
        <v>5745428000</v>
      </c>
      <c r="G248" t="s">
        <v>12</v>
      </c>
      <c r="H248" t="s">
        <v>12</v>
      </c>
      <c r="I248" s="2">
        <v>169645000</v>
      </c>
      <c r="J248" t="s">
        <v>52</v>
      </c>
      <c r="K248" t="s">
        <v>130</v>
      </c>
      <c r="L248">
        <f t="shared" si="3"/>
        <v>0.11800112340939251</v>
      </c>
    </row>
    <row r="249" spans="1:12" x14ac:dyDescent="0.2">
      <c r="A249">
        <v>271</v>
      </c>
      <c r="B249" t="s">
        <v>129</v>
      </c>
      <c r="C249" t="s">
        <v>15</v>
      </c>
      <c r="D249" s="1">
        <v>41639</v>
      </c>
      <c r="E249" s="2">
        <v>7184794000</v>
      </c>
      <c r="F249" s="2">
        <v>6293699000</v>
      </c>
      <c r="G249" t="s">
        <v>12</v>
      </c>
      <c r="H249" t="s">
        <v>12</v>
      </c>
      <c r="I249" s="2">
        <v>190390000</v>
      </c>
      <c r="J249" t="s">
        <v>52</v>
      </c>
      <c r="K249" t="s">
        <v>130</v>
      </c>
      <c r="L249">
        <f t="shared" si="3"/>
        <v>0.12402512862581727</v>
      </c>
    </row>
    <row r="250" spans="1:12" x14ac:dyDescent="0.2">
      <c r="A250">
        <v>272</v>
      </c>
      <c r="B250" t="s">
        <v>129</v>
      </c>
      <c r="C250" t="s">
        <v>16</v>
      </c>
      <c r="D250" s="1">
        <v>42004</v>
      </c>
      <c r="E250" s="2">
        <v>9049918000</v>
      </c>
      <c r="F250" s="2">
        <v>8050222000</v>
      </c>
      <c r="G250" t="s">
        <v>12</v>
      </c>
      <c r="H250" t="s">
        <v>12</v>
      </c>
      <c r="I250" s="2">
        <v>265101000</v>
      </c>
      <c r="J250" t="s">
        <v>52</v>
      </c>
      <c r="K250" t="s">
        <v>130</v>
      </c>
      <c r="L250">
        <f t="shared" si="3"/>
        <v>0.11046464730398664</v>
      </c>
    </row>
    <row r="251" spans="1:12" x14ac:dyDescent="0.2">
      <c r="A251">
        <v>273</v>
      </c>
      <c r="B251" t="s">
        <v>129</v>
      </c>
      <c r="C251" t="s">
        <v>17</v>
      </c>
      <c r="D251" s="1">
        <v>42369</v>
      </c>
      <c r="E251" s="2">
        <v>10855810000</v>
      </c>
      <c r="F251" s="2">
        <v>9716541000</v>
      </c>
      <c r="G251" t="s">
        <v>12</v>
      </c>
      <c r="H251" t="s">
        <v>12</v>
      </c>
      <c r="I251" s="2">
        <v>314096000</v>
      </c>
      <c r="J251" t="s">
        <v>52</v>
      </c>
      <c r="K251" t="s">
        <v>130</v>
      </c>
      <c r="L251">
        <f t="shared" si="3"/>
        <v>0.10494555450030907</v>
      </c>
    </row>
    <row r="252" spans="1:12" x14ac:dyDescent="0.2">
      <c r="A252">
        <v>274</v>
      </c>
      <c r="B252" t="s">
        <v>131</v>
      </c>
      <c r="C252" t="s">
        <v>11</v>
      </c>
      <c r="D252" s="1">
        <v>41274</v>
      </c>
      <c r="E252" s="2">
        <v>2432680000</v>
      </c>
      <c r="F252" s="2">
        <v>728989000</v>
      </c>
      <c r="G252" s="2">
        <v>212572000</v>
      </c>
      <c r="H252" t="s">
        <v>12</v>
      </c>
      <c r="I252" s="2">
        <v>622592000</v>
      </c>
      <c r="J252" t="s">
        <v>52</v>
      </c>
      <c r="K252" t="s">
        <v>53</v>
      </c>
      <c r="L252">
        <f t="shared" si="3"/>
        <v>0.70033502145781612</v>
      </c>
    </row>
    <row r="253" spans="1:12" x14ac:dyDescent="0.2">
      <c r="A253">
        <v>275</v>
      </c>
      <c r="B253" t="s">
        <v>131</v>
      </c>
      <c r="C253" t="s">
        <v>15</v>
      </c>
      <c r="D253" s="1">
        <v>41639</v>
      </c>
      <c r="E253" s="2">
        <v>2865751000</v>
      </c>
      <c r="F253" s="2">
        <v>991017000</v>
      </c>
      <c r="G253" s="2">
        <v>213519000</v>
      </c>
      <c r="H253" t="s">
        <v>12</v>
      </c>
      <c r="I253" s="2">
        <v>741342000</v>
      </c>
      <c r="J253" t="s">
        <v>52</v>
      </c>
      <c r="K253" t="s">
        <v>53</v>
      </c>
      <c r="L253">
        <f t="shared" si="3"/>
        <v>0.65418593590301466</v>
      </c>
    </row>
    <row r="254" spans="1:12" x14ac:dyDescent="0.2">
      <c r="A254">
        <v>276</v>
      </c>
      <c r="B254" t="s">
        <v>131</v>
      </c>
      <c r="C254" t="s">
        <v>16</v>
      </c>
      <c r="D254" s="1">
        <v>42004</v>
      </c>
      <c r="E254" s="2">
        <v>3538756000</v>
      </c>
      <c r="F254" s="2">
        <v>1306606000</v>
      </c>
      <c r="G254" s="2">
        <v>257296000</v>
      </c>
      <c r="H254" t="s">
        <v>12</v>
      </c>
      <c r="I254" s="2">
        <v>985781000</v>
      </c>
      <c r="J254" t="s">
        <v>52</v>
      </c>
      <c r="K254" t="s">
        <v>53</v>
      </c>
      <c r="L254">
        <f t="shared" si="3"/>
        <v>0.63077250875731472</v>
      </c>
    </row>
    <row r="255" spans="1:12" x14ac:dyDescent="0.2">
      <c r="A255">
        <v>277</v>
      </c>
      <c r="B255" t="s">
        <v>131</v>
      </c>
      <c r="C255" t="s">
        <v>17</v>
      </c>
      <c r="D255" s="1">
        <v>42369</v>
      </c>
      <c r="E255" s="2">
        <v>3663851000</v>
      </c>
      <c r="F255" s="2">
        <v>1321426000</v>
      </c>
      <c r="G255" s="2">
        <v>310921000</v>
      </c>
      <c r="H255" t="s">
        <v>12</v>
      </c>
      <c r="I255" s="2">
        <v>1036178000</v>
      </c>
      <c r="J255" t="s">
        <v>52</v>
      </c>
      <c r="K255" t="s">
        <v>53</v>
      </c>
      <c r="L255">
        <f t="shared" si="3"/>
        <v>0.6393341323105115</v>
      </c>
    </row>
    <row r="256" spans="1:12" x14ac:dyDescent="0.2">
      <c r="A256">
        <v>278</v>
      </c>
      <c r="B256" t="s">
        <v>132</v>
      </c>
      <c r="C256" t="s">
        <v>11</v>
      </c>
      <c r="D256" s="1">
        <v>41608</v>
      </c>
      <c r="E256" s="2">
        <v>15456000000</v>
      </c>
      <c r="F256" s="2">
        <v>10645000000</v>
      </c>
      <c r="G256" s="2">
        <v>1879000000</v>
      </c>
      <c r="H256" t="s">
        <v>12</v>
      </c>
      <c r="I256" s="2">
        <v>1590000000</v>
      </c>
      <c r="J256" t="s">
        <v>19</v>
      </c>
      <c r="K256" t="s">
        <v>133</v>
      </c>
      <c r="L256">
        <f t="shared" si="3"/>
        <v>0.31127070393374745</v>
      </c>
    </row>
    <row r="257" spans="1:12" x14ac:dyDescent="0.2">
      <c r="A257">
        <v>279</v>
      </c>
      <c r="B257" t="s">
        <v>132</v>
      </c>
      <c r="C257" t="s">
        <v>15</v>
      </c>
      <c r="D257" s="1">
        <v>41973</v>
      </c>
      <c r="E257" s="2">
        <v>15884000000</v>
      </c>
      <c r="F257" s="2">
        <v>10421000000</v>
      </c>
      <c r="G257" s="2">
        <v>2054000000</v>
      </c>
      <c r="H257" t="s">
        <v>12</v>
      </c>
      <c r="I257" s="2">
        <v>1637000000</v>
      </c>
      <c r="J257" t="s">
        <v>19</v>
      </c>
      <c r="K257" t="s">
        <v>133</v>
      </c>
      <c r="L257">
        <f t="shared" si="3"/>
        <v>0.34393099974817432</v>
      </c>
    </row>
    <row r="258" spans="1:12" x14ac:dyDescent="0.2">
      <c r="A258">
        <v>280</v>
      </c>
      <c r="B258" t="s">
        <v>132</v>
      </c>
      <c r="C258" t="s">
        <v>16</v>
      </c>
      <c r="D258" s="1">
        <v>42338</v>
      </c>
      <c r="E258" s="2">
        <v>15714000000</v>
      </c>
      <c r="F258" s="2">
        <v>9447000000</v>
      </c>
      <c r="G258" s="2">
        <v>2067000000</v>
      </c>
      <c r="H258" t="s">
        <v>12</v>
      </c>
      <c r="I258" s="2">
        <v>1626000000</v>
      </c>
      <c r="J258" t="s">
        <v>19</v>
      </c>
      <c r="K258" t="s">
        <v>133</v>
      </c>
      <c r="L258">
        <f t="shared" si="3"/>
        <v>0.39881634211531114</v>
      </c>
    </row>
    <row r="259" spans="1:12" x14ac:dyDescent="0.2">
      <c r="A259">
        <v>281</v>
      </c>
      <c r="B259" t="s">
        <v>132</v>
      </c>
      <c r="C259" t="s">
        <v>17</v>
      </c>
      <c r="D259" s="1">
        <v>42704</v>
      </c>
      <c r="E259" s="2">
        <v>16389000000</v>
      </c>
      <c r="F259" s="2">
        <v>9383000000</v>
      </c>
      <c r="G259" s="2">
        <v>2197000000</v>
      </c>
      <c r="H259" t="s">
        <v>12</v>
      </c>
      <c r="I259" s="2">
        <v>1738000000</v>
      </c>
      <c r="J259" t="s">
        <v>19</v>
      </c>
      <c r="K259" t="s">
        <v>133</v>
      </c>
      <c r="L259">
        <f t="shared" ref="L259:L322" si="4">1-F259/E259</f>
        <v>0.42748184758069441</v>
      </c>
    </row>
    <row r="260" spans="1:12" x14ac:dyDescent="0.2">
      <c r="A260">
        <v>282</v>
      </c>
      <c r="B260" t="s">
        <v>134</v>
      </c>
      <c r="C260" t="s">
        <v>11</v>
      </c>
      <c r="D260" s="1">
        <v>41639</v>
      </c>
      <c r="E260" s="2">
        <v>6493900000</v>
      </c>
      <c r="F260" s="2">
        <v>340400000</v>
      </c>
      <c r="G260" s="2">
        <v>1684500000</v>
      </c>
      <c r="H260" s="2">
        <v>2226200000</v>
      </c>
      <c r="I260" s="2">
        <v>262800000</v>
      </c>
      <c r="J260" t="s">
        <v>25</v>
      </c>
      <c r="K260" t="s">
        <v>66</v>
      </c>
      <c r="L260">
        <f t="shared" si="4"/>
        <v>0.94758157655646069</v>
      </c>
    </row>
    <row r="261" spans="1:12" x14ac:dyDescent="0.2">
      <c r="A261">
        <v>283</v>
      </c>
      <c r="B261" t="s">
        <v>134</v>
      </c>
      <c r="C261" t="s">
        <v>15</v>
      </c>
      <c r="D261" s="1">
        <v>42004</v>
      </c>
      <c r="E261" s="2">
        <v>7670400000</v>
      </c>
      <c r="F261" s="2">
        <v>385900000</v>
      </c>
      <c r="G261" s="2">
        <v>2027900000</v>
      </c>
      <c r="H261" s="2">
        <v>2430600000</v>
      </c>
      <c r="I261" s="2">
        <v>258300000</v>
      </c>
      <c r="J261" t="s">
        <v>25</v>
      </c>
      <c r="K261" t="s">
        <v>66</v>
      </c>
      <c r="L261">
        <f t="shared" si="4"/>
        <v>0.94968971631205679</v>
      </c>
    </row>
    <row r="262" spans="1:12" x14ac:dyDescent="0.2">
      <c r="A262">
        <v>284</v>
      </c>
      <c r="B262" t="s">
        <v>134</v>
      </c>
      <c r="C262" t="s">
        <v>16</v>
      </c>
      <c r="D262" s="1">
        <v>42369</v>
      </c>
      <c r="E262" s="2">
        <v>9256000000</v>
      </c>
      <c r="F262" s="2">
        <v>420100000</v>
      </c>
      <c r="G262" s="2">
        <v>2305400000</v>
      </c>
      <c r="H262" s="2">
        <v>3697300000</v>
      </c>
      <c r="I262" s="2">
        <v>279000000</v>
      </c>
      <c r="J262" t="s">
        <v>25</v>
      </c>
      <c r="K262" t="s">
        <v>66</v>
      </c>
      <c r="L262">
        <f t="shared" si="4"/>
        <v>0.95461322385479686</v>
      </c>
    </row>
    <row r="263" spans="1:12" x14ac:dyDescent="0.2">
      <c r="A263">
        <v>285</v>
      </c>
      <c r="B263" t="s">
        <v>134</v>
      </c>
      <c r="C263" t="s">
        <v>17</v>
      </c>
      <c r="D263" s="1">
        <v>42735</v>
      </c>
      <c r="E263" s="2">
        <v>11229200000</v>
      </c>
      <c r="F263" s="2">
        <v>438000000</v>
      </c>
      <c r="G263" s="2">
        <v>2657700000</v>
      </c>
      <c r="H263" s="2">
        <v>4470100000</v>
      </c>
      <c r="I263" s="2">
        <v>459000000</v>
      </c>
      <c r="J263" t="s">
        <v>25</v>
      </c>
      <c r="K263" t="s">
        <v>66</v>
      </c>
      <c r="L263">
        <f t="shared" si="4"/>
        <v>0.96099454992341393</v>
      </c>
    </row>
    <row r="264" spans="1:12" x14ac:dyDescent="0.2">
      <c r="A264">
        <v>286</v>
      </c>
      <c r="B264" t="s">
        <v>135</v>
      </c>
      <c r="C264" t="s">
        <v>11</v>
      </c>
      <c r="D264" s="1">
        <v>41636</v>
      </c>
      <c r="E264" s="2">
        <v>2910748000</v>
      </c>
      <c r="F264" s="2">
        <v>514722000</v>
      </c>
      <c r="G264" s="2">
        <v>1468434000</v>
      </c>
      <c r="H264" s="2">
        <v>338786000</v>
      </c>
      <c r="I264" s="2">
        <v>12794000</v>
      </c>
      <c r="J264" t="s">
        <v>25</v>
      </c>
      <c r="K264" t="s">
        <v>136</v>
      </c>
      <c r="L264">
        <f t="shared" si="4"/>
        <v>0.82316504211288644</v>
      </c>
    </row>
    <row r="265" spans="1:12" x14ac:dyDescent="0.2">
      <c r="A265">
        <v>287</v>
      </c>
      <c r="B265" t="s">
        <v>135</v>
      </c>
      <c r="C265" t="s">
        <v>15</v>
      </c>
      <c r="D265" s="1">
        <v>42007</v>
      </c>
      <c r="E265" s="2">
        <v>3402703000</v>
      </c>
      <c r="F265" s="2">
        <v>604377000</v>
      </c>
      <c r="G265" s="2">
        <v>1628961000</v>
      </c>
      <c r="H265" s="2">
        <v>392805000</v>
      </c>
      <c r="I265" s="2">
        <v>13476000</v>
      </c>
      <c r="J265" t="s">
        <v>25</v>
      </c>
      <c r="K265" t="s">
        <v>136</v>
      </c>
      <c r="L265">
        <f t="shared" si="4"/>
        <v>0.82238326412854723</v>
      </c>
    </row>
    <row r="266" spans="1:12" x14ac:dyDescent="0.2">
      <c r="A266">
        <v>288</v>
      </c>
      <c r="B266" t="s">
        <v>135</v>
      </c>
      <c r="C266" t="s">
        <v>16</v>
      </c>
      <c r="D266" s="1">
        <v>42371</v>
      </c>
      <c r="E266" s="2">
        <v>4425267000</v>
      </c>
      <c r="F266" s="2">
        <v>750781000</v>
      </c>
      <c r="G266" s="2">
        <v>2262024000</v>
      </c>
      <c r="H266" s="2">
        <v>539799000</v>
      </c>
      <c r="I266" s="2">
        <v>91527000</v>
      </c>
      <c r="J266" t="s">
        <v>25</v>
      </c>
      <c r="K266" t="s">
        <v>136</v>
      </c>
      <c r="L266">
        <f t="shared" si="4"/>
        <v>0.83034221437938094</v>
      </c>
    </row>
    <row r="267" spans="1:12" x14ac:dyDescent="0.2">
      <c r="A267">
        <v>289</v>
      </c>
      <c r="B267" t="s">
        <v>135</v>
      </c>
      <c r="C267" t="s">
        <v>17</v>
      </c>
      <c r="D267" s="1">
        <v>42735</v>
      </c>
      <c r="E267" s="2">
        <v>4796473000</v>
      </c>
      <c r="F267" s="2">
        <v>779116000</v>
      </c>
      <c r="G267" s="2">
        <v>2464380000</v>
      </c>
      <c r="H267" s="2">
        <v>551418000</v>
      </c>
      <c r="I267" s="2">
        <v>90546000</v>
      </c>
      <c r="J267" t="s">
        <v>25</v>
      </c>
      <c r="K267" t="s">
        <v>136</v>
      </c>
      <c r="L267">
        <f t="shared" si="4"/>
        <v>0.8375648106431538</v>
      </c>
    </row>
    <row r="268" spans="1:12" x14ac:dyDescent="0.2">
      <c r="A268">
        <v>290</v>
      </c>
      <c r="B268" t="s">
        <v>137</v>
      </c>
      <c r="C268" t="s">
        <v>11</v>
      </c>
      <c r="D268" s="1">
        <v>41274</v>
      </c>
      <c r="E268" s="2">
        <v>6104000000</v>
      </c>
      <c r="F268" s="2">
        <v>2990700000</v>
      </c>
      <c r="G268" s="2">
        <v>200900000</v>
      </c>
      <c r="H268" t="s">
        <v>12</v>
      </c>
      <c r="I268" t="s">
        <v>12</v>
      </c>
      <c r="J268" t="s">
        <v>59</v>
      </c>
      <c r="K268" t="s">
        <v>138</v>
      </c>
      <c r="L268">
        <f t="shared" si="4"/>
        <v>0.51004259501965921</v>
      </c>
    </row>
    <row r="269" spans="1:12" x14ac:dyDescent="0.2">
      <c r="A269">
        <v>291</v>
      </c>
      <c r="B269" t="s">
        <v>137</v>
      </c>
      <c r="C269" t="s">
        <v>15</v>
      </c>
      <c r="D269" s="1">
        <v>41639</v>
      </c>
      <c r="E269" s="2">
        <v>5474700000</v>
      </c>
      <c r="F269" s="2">
        <v>2954500000</v>
      </c>
      <c r="G269" s="2">
        <v>150200000</v>
      </c>
      <c r="H269" t="s">
        <v>12</v>
      </c>
      <c r="I269" t="s">
        <v>12</v>
      </c>
      <c r="J269" t="s">
        <v>59</v>
      </c>
      <c r="K269" t="s">
        <v>138</v>
      </c>
      <c r="L269">
        <f t="shared" si="4"/>
        <v>0.46033572615851093</v>
      </c>
    </row>
    <row r="270" spans="1:12" x14ac:dyDescent="0.2">
      <c r="A270">
        <v>292</v>
      </c>
      <c r="B270" t="s">
        <v>137</v>
      </c>
      <c r="C270" t="s">
        <v>16</v>
      </c>
      <c r="D270" s="1">
        <v>42004</v>
      </c>
      <c r="E270" s="2">
        <v>4743200000</v>
      </c>
      <c r="F270" s="2">
        <v>2964700000</v>
      </c>
      <c r="G270" s="2">
        <v>205200000</v>
      </c>
      <c r="H270" t="s">
        <v>12</v>
      </c>
      <c r="I270" t="s">
        <v>12</v>
      </c>
      <c r="J270" t="s">
        <v>59</v>
      </c>
      <c r="K270" t="s">
        <v>138</v>
      </c>
      <c r="L270">
        <f t="shared" si="4"/>
        <v>0.37495783437341879</v>
      </c>
    </row>
    <row r="271" spans="1:12" x14ac:dyDescent="0.2">
      <c r="A271">
        <v>293</v>
      </c>
      <c r="B271" t="s">
        <v>137</v>
      </c>
      <c r="C271" t="s">
        <v>17</v>
      </c>
      <c r="D271" s="1">
        <v>42369</v>
      </c>
      <c r="E271" s="2">
        <v>4308300000</v>
      </c>
      <c r="F271" s="2">
        <v>2761200000</v>
      </c>
      <c r="G271" s="2">
        <v>319000000</v>
      </c>
      <c r="H271" t="s">
        <v>12</v>
      </c>
      <c r="I271" t="s">
        <v>12</v>
      </c>
      <c r="J271" t="s">
        <v>59</v>
      </c>
      <c r="K271" t="s">
        <v>138</v>
      </c>
      <c r="L271">
        <f t="shared" si="4"/>
        <v>0.35909755588050973</v>
      </c>
    </row>
    <row r="272" spans="1:12" x14ac:dyDescent="0.2">
      <c r="A272">
        <v>294</v>
      </c>
      <c r="B272" t="s">
        <v>139</v>
      </c>
      <c r="C272" t="s">
        <v>11</v>
      </c>
      <c r="D272" s="1">
        <v>41274</v>
      </c>
      <c r="E272" s="2">
        <v>5513000000</v>
      </c>
      <c r="F272" s="2">
        <v>375000000</v>
      </c>
      <c r="G272" s="2">
        <v>3380000000</v>
      </c>
      <c r="H272" t="s">
        <v>12</v>
      </c>
      <c r="I272" s="2">
        <v>490000000</v>
      </c>
      <c r="J272" t="s">
        <v>47</v>
      </c>
      <c r="K272" t="s">
        <v>140</v>
      </c>
      <c r="L272">
        <f t="shared" si="4"/>
        <v>0.93197895882459636</v>
      </c>
    </row>
    <row r="273" spans="1:12" x14ac:dyDescent="0.2">
      <c r="A273">
        <v>295</v>
      </c>
      <c r="B273" t="s">
        <v>139</v>
      </c>
      <c r="C273" t="s">
        <v>15</v>
      </c>
      <c r="D273" s="1">
        <v>41639</v>
      </c>
      <c r="E273" s="2">
        <v>5133000000</v>
      </c>
      <c r="F273" s="2">
        <v>216000000</v>
      </c>
      <c r="G273" s="2">
        <v>3142000000</v>
      </c>
      <c r="H273" t="s">
        <v>12</v>
      </c>
      <c r="I273" s="2">
        <v>581000000</v>
      </c>
      <c r="J273" t="s">
        <v>47</v>
      </c>
      <c r="K273" t="s">
        <v>140</v>
      </c>
      <c r="L273">
        <f t="shared" si="4"/>
        <v>0.95791934541203971</v>
      </c>
    </row>
    <row r="274" spans="1:12" x14ac:dyDescent="0.2">
      <c r="A274">
        <v>296</v>
      </c>
      <c r="B274" t="s">
        <v>139</v>
      </c>
      <c r="C274" t="s">
        <v>16</v>
      </c>
      <c r="D274" s="1">
        <v>42004</v>
      </c>
      <c r="E274" s="2">
        <v>5342000000</v>
      </c>
      <c r="F274" s="2">
        <v>160000000</v>
      </c>
      <c r="G274" s="2">
        <v>3247000000</v>
      </c>
      <c r="H274" t="s">
        <v>12</v>
      </c>
      <c r="I274" s="2">
        <v>464000000</v>
      </c>
      <c r="J274" t="s">
        <v>47</v>
      </c>
      <c r="K274" t="s">
        <v>140</v>
      </c>
      <c r="L274">
        <f t="shared" si="4"/>
        <v>0.97004867090977165</v>
      </c>
    </row>
    <row r="275" spans="1:12" x14ac:dyDescent="0.2">
      <c r="A275">
        <v>297</v>
      </c>
      <c r="B275" t="s">
        <v>139</v>
      </c>
      <c r="C275" t="s">
        <v>17</v>
      </c>
      <c r="D275" s="1">
        <v>42369</v>
      </c>
      <c r="E275" s="2">
        <v>5276000000</v>
      </c>
      <c r="F275" s="2">
        <v>237000000</v>
      </c>
      <c r="G275" s="2">
        <v>3113000000</v>
      </c>
      <c r="H275" t="s">
        <v>12</v>
      </c>
      <c r="I275" s="2">
        <v>448000000</v>
      </c>
      <c r="J275" t="s">
        <v>47</v>
      </c>
      <c r="K275" t="s">
        <v>140</v>
      </c>
      <c r="L275">
        <f t="shared" si="4"/>
        <v>0.95507960576194084</v>
      </c>
    </row>
    <row r="276" spans="1:12" x14ac:dyDescent="0.2">
      <c r="A276">
        <v>298</v>
      </c>
      <c r="B276" t="s">
        <v>141</v>
      </c>
      <c r="C276" t="s">
        <v>11</v>
      </c>
      <c r="D276" s="1">
        <v>41274</v>
      </c>
      <c r="E276" s="2">
        <v>2921900000</v>
      </c>
      <c r="F276" s="2">
        <v>1630500000</v>
      </c>
      <c r="G276" s="2">
        <v>746300000</v>
      </c>
      <c r="H276" t="s">
        <v>12</v>
      </c>
      <c r="I276" t="s">
        <v>12</v>
      </c>
      <c r="J276" t="s">
        <v>36</v>
      </c>
      <c r="K276" t="s">
        <v>142</v>
      </c>
      <c r="L276">
        <f t="shared" si="4"/>
        <v>0.44197268900373043</v>
      </c>
    </row>
    <row r="277" spans="1:12" x14ac:dyDescent="0.2">
      <c r="A277">
        <v>299</v>
      </c>
      <c r="B277" t="s">
        <v>141</v>
      </c>
      <c r="C277" t="s">
        <v>15</v>
      </c>
      <c r="D277" s="1">
        <v>41639</v>
      </c>
      <c r="E277" s="2">
        <v>3194300000</v>
      </c>
      <c r="F277" s="2">
        <v>1756300000</v>
      </c>
      <c r="G277" s="2">
        <v>815800000</v>
      </c>
      <c r="H277" t="s">
        <v>12</v>
      </c>
      <c r="I277" t="s">
        <v>12</v>
      </c>
      <c r="J277" t="s">
        <v>36</v>
      </c>
      <c r="K277" t="s">
        <v>142</v>
      </c>
      <c r="L277">
        <f t="shared" si="4"/>
        <v>0.45017687756315938</v>
      </c>
    </row>
    <row r="278" spans="1:12" x14ac:dyDescent="0.2">
      <c r="A278">
        <v>300</v>
      </c>
      <c r="B278" t="s">
        <v>141</v>
      </c>
      <c r="C278" t="s">
        <v>16</v>
      </c>
      <c r="D278" s="1">
        <v>42004</v>
      </c>
      <c r="E278" s="2">
        <v>3297600000</v>
      </c>
      <c r="F278" s="2">
        <v>1844700000</v>
      </c>
      <c r="G278" s="2">
        <v>811700000</v>
      </c>
      <c r="H278" t="s">
        <v>12</v>
      </c>
      <c r="I278" t="s">
        <v>12</v>
      </c>
      <c r="J278" t="s">
        <v>36</v>
      </c>
      <c r="K278" t="s">
        <v>142</v>
      </c>
      <c r="L278">
        <f t="shared" si="4"/>
        <v>0.44059315866084425</v>
      </c>
    </row>
    <row r="279" spans="1:12" x14ac:dyDescent="0.2">
      <c r="A279">
        <v>301</v>
      </c>
      <c r="B279" t="s">
        <v>141</v>
      </c>
      <c r="C279" t="s">
        <v>17</v>
      </c>
      <c r="D279" s="1">
        <v>42369</v>
      </c>
      <c r="E279" s="2">
        <v>3394800000</v>
      </c>
      <c r="F279" s="2">
        <v>1883000000</v>
      </c>
      <c r="G279" s="2">
        <v>837600000</v>
      </c>
      <c r="H279" t="s">
        <v>12</v>
      </c>
      <c r="I279" t="s">
        <v>12</v>
      </c>
      <c r="J279" t="s">
        <v>36</v>
      </c>
      <c r="K279" t="s">
        <v>142</v>
      </c>
      <c r="L279">
        <f t="shared" si="4"/>
        <v>0.44532814893366324</v>
      </c>
    </row>
    <row r="280" spans="1:12" x14ac:dyDescent="0.2">
      <c r="A280">
        <v>302</v>
      </c>
      <c r="B280" t="s">
        <v>143</v>
      </c>
      <c r="C280" t="s">
        <v>11</v>
      </c>
      <c r="D280" s="1">
        <v>41274</v>
      </c>
      <c r="E280" s="2">
        <v>12316000000</v>
      </c>
      <c r="F280" s="2">
        <v>7081000000</v>
      </c>
      <c r="G280" s="2">
        <v>723000000</v>
      </c>
      <c r="H280" t="s">
        <v>12</v>
      </c>
      <c r="I280" s="2">
        <v>2811000000</v>
      </c>
      <c r="J280" t="s">
        <v>83</v>
      </c>
      <c r="K280" t="s">
        <v>144</v>
      </c>
      <c r="L280">
        <f t="shared" si="4"/>
        <v>0.42505683663527116</v>
      </c>
    </row>
    <row r="281" spans="1:12" x14ac:dyDescent="0.2">
      <c r="A281">
        <v>303</v>
      </c>
      <c r="B281" t="s">
        <v>143</v>
      </c>
      <c r="C281" t="s">
        <v>15</v>
      </c>
      <c r="D281" s="1">
        <v>41639</v>
      </c>
      <c r="E281" s="2">
        <v>19080000000</v>
      </c>
      <c r="F281" s="2">
        <v>12930000000</v>
      </c>
      <c r="G281" s="2">
        <v>686000000</v>
      </c>
      <c r="H281" t="s">
        <v>12</v>
      </c>
      <c r="I281" s="2">
        <v>2903000000</v>
      </c>
      <c r="J281" t="s">
        <v>83</v>
      </c>
      <c r="K281" t="s">
        <v>144</v>
      </c>
      <c r="L281">
        <f t="shared" si="4"/>
        <v>0.32232704402515722</v>
      </c>
    </row>
    <row r="282" spans="1:12" x14ac:dyDescent="0.2">
      <c r="A282">
        <v>304</v>
      </c>
      <c r="B282" t="s">
        <v>143</v>
      </c>
      <c r="C282" t="s">
        <v>16</v>
      </c>
      <c r="D282" s="1">
        <v>42004</v>
      </c>
      <c r="E282" s="2">
        <v>23125000000</v>
      </c>
      <c r="F282" s="2">
        <v>16049000000</v>
      </c>
      <c r="G282" s="2">
        <v>554000000</v>
      </c>
      <c r="H282" t="s">
        <v>12</v>
      </c>
      <c r="I282" s="2">
        <v>2915000000</v>
      </c>
      <c r="J282" t="s">
        <v>83</v>
      </c>
      <c r="K282" t="s">
        <v>144</v>
      </c>
      <c r="L282">
        <f t="shared" si="4"/>
        <v>0.30598918918918916</v>
      </c>
    </row>
    <row r="283" spans="1:12" x14ac:dyDescent="0.2">
      <c r="A283">
        <v>305</v>
      </c>
      <c r="B283" t="s">
        <v>143</v>
      </c>
      <c r="C283" t="s">
        <v>17</v>
      </c>
      <c r="D283" s="1">
        <v>42369</v>
      </c>
      <c r="E283" s="2">
        <v>12764000000</v>
      </c>
      <c r="F283" s="2">
        <v>10295000000</v>
      </c>
      <c r="G283" s="2">
        <v>334000000</v>
      </c>
      <c r="H283" t="s">
        <v>12</v>
      </c>
      <c r="I283" s="2">
        <v>2229000000</v>
      </c>
      <c r="J283" t="s">
        <v>83</v>
      </c>
      <c r="K283" t="s">
        <v>144</v>
      </c>
      <c r="L283">
        <f t="shared" si="4"/>
        <v>0.19343465998119713</v>
      </c>
    </row>
    <row r="284" spans="1:12" x14ac:dyDescent="0.2">
      <c r="A284">
        <v>306</v>
      </c>
      <c r="B284" t="s">
        <v>145</v>
      </c>
      <c r="C284" t="s">
        <v>11</v>
      </c>
      <c r="D284" s="1">
        <v>41274</v>
      </c>
      <c r="E284" s="2">
        <v>11359113000</v>
      </c>
      <c r="F284" s="2">
        <v>9641542000</v>
      </c>
      <c r="G284" s="2">
        <v>1042251000</v>
      </c>
      <c r="H284" t="s">
        <v>12</v>
      </c>
      <c r="I284" t="s">
        <v>12</v>
      </c>
      <c r="J284" t="s">
        <v>13</v>
      </c>
      <c r="K284" t="s">
        <v>146</v>
      </c>
      <c r="L284">
        <f t="shared" si="4"/>
        <v>0.15120643662933897</v>
      </c>
    </row>
    <row r="285" spans="1:12" x14ac:dyDescent="0.2">
      <c r="A285">
        <v>307</v>
      </c>
      <c r="B285" t="s">
        <v>145</v>
      </c>
      <c r="C285" t="s">
        <v>15</v>
      </c>
      <c r="D285" s="1">
        <v>41639</v>
      </c>
      <c r="E285" s="2">
        <v>12752076000</v>
      </c>
      <c r="F285" s="2">
        <v>10915981000</v>
      </c>
      <c r="G285" s="2">
        <v>1153445000</v>
      </c>
      <c r="H285" t="s">
        <v>12</v>
      </c>
      <c r="I285" t="s">
        <v>12</v>
      </c>
      <c r="J285" t="s">
        <v>13</v>
      </c>
      <c r="K285" t="s">
        <v>146</v>
      </c>
      <c r="L285">
        <f t="shared" si="4"/>
        <v>0.14398400699619418</v>
      </c>
    </row>
    <row r="286" spans="1:12" x14ac:dyDescent="0.2">
      <c r="A286">
        <v>308</v>
      </c>
      <c r="B286" t="s">
        <v>145</v>
      </c>
      <c r="C286" t="s">
        <v>16</v>
      </c>
      <c r="D286" s="1">
        <v>42004</v>
      </c>
      <c r="E286" s="2">
        <v>13470067000</v>
      </c>
      <c r="F286" s="2">
        <v>11462415000</v>
      </c>
      <c r="G286" s="2">
        <v>1259234000</v>
      </c>
      <c r="H286" t="s">
        <v>12</v>
      </c>
      <c r="I286" t="s">
        <v>12</v>
      </c>
      <c r="J286" t="s">
        <v>13</v>
      </c>
      <c r="K286" t="s">
        <v>146</v>
      </c>
      <c r="L286">
        <f t="shared" si="4"/>
        <v>0.14904543533450876</v>
      </c>
    </row>
    <row r="287" spans="1:12" x14ac:dyDescent="0.2">
      <c r="A287">
        <v>309</v>
      </c>
      <c r="B287" t="s">
        <v>145</v>
      </c>
      <c r="C287" t="s">
        <v>17</v>
      </c>
      <c r="D287" s="1">
        <v>42369</v>
      </c>
      <c r="E287" s="2">
        <v>13476084000</v>
      </c>
      <c r="F287" s="2">
        <v>11207604000</v>
      </c>
      <c r="G287" s="2">
        <v>1410170000</v>
      </c>
      <c r="H287" t="s">
        <v>12</v>
      </c>
      <c r="I287" t="s">
        <v>12</v>
      </c>
      <c r="J287" t="s">
        <v>13</v>
      </c>
      <c r="K287" t="s">
        <v>146</v>
      </c>
      <c r="L287">
        <f t="shared" si="4"/>
        <v>0.16833376817775847</v>
      </c>
    </row>
    <row r="288" spans="1:12" x14ac:dyDescent="0.2">
      <c r="A288">
        <v>310</v>
      </c>
      <c r="B288" t="s">
        <v>147</v>
      </c>
      <c r="C288" t="s">
        <v>11</v>
      </c>
      <c r="D288" s="1">
        <v>41639</v>
      </c>
      <c r="E288" s="2">
        <v>8155000000</v>
      </c>
      <c r="F288" s="2">
        <v>5345000000</v>
      </c>
      <c r="G288" s="2">
        <v>47000000</v>
      </c>
      <c r="H288" t="s">
        <v>12</v>
      </c>
      <c r="I288" s="2">
        <v>1854000000</v>
      </c>
      <c r="J288" t="s">
        <v>19</v>
      </c>
      <c r="K288" t="s">
        <v>148</v>
      </c>
      <c r="L288">
        <f t="shared" si="4"/>
        <v>0.34457388105456777</v>
      </c>
    </row>
    <row r="289" spans="1:12" x14ac:dyDescent="0.2">
      <c r="A289">
        <v>311</v>
      </c>
      <c r="B289" t="s">
        <v>147</v>
      </c>
      <c r="C289" t="s">
        <v>15</v>
      </c>
      <c r="D289" s="1">
        <v>42004</v>
      </c>
      <c r="E289" s="2">
        <v>9108000000</v>
      </c>
      <c r="F289" s="2">
        <v>5973000000</v>
      </c>
      <c r="G289" s="2">
        <v>62000000</v>
      </c>
      <c r="H289" t="s">
        <v>12</v>
      </c>
      <c r="I289" s="2">
        <v>2102000000</v>
      </c>
      <c r="J289" t="s">
        <v>19</v>
      </c>
      <c r="K289" t="s">
        <v>148</v>
      </c>
      <c r="L289">
        <f t="shared" si="4"/>
        <v>0.34420289855072461</v>
      </c>
    </row>
    <row r="290" spans="1:12" x14ac:dyDescent="0.2">
      <c r="A290">
        <v>312</v>
      </c>
      <c r="B290" t="s">
        <v>147</v>
      </c>
      <c r="C290" t="s">
        <v>16</v>
      </c>
      <c r="D290" s="1">
        <v>42369</v>
      </c>
      <c r="E290" s="2">
        <v>9754000000</v>
      </c>
      <c r="F290" s="2">
        <v>6426000000</v>
      </c>
      <c r="G290" s="2">
        <v>89000000</v>
      </c>
      <c r="H290" t="s">
        <v>12</v>
      </c>
      <c r="I290" s="2">
        <v>2125000000</v>
      </c>
      <c r="J290" t="s">
        <v>19</v>
      </c>
      <c r="K290" t="s">
        <v>148</v>
      </c>
      <c r="L290">
        <f t="shared" si="4"/>
        <v>0.34119335657166294</v>
      </c>
    </row>
    <row r="291" spans="1:12" x14ac:dyDescent="0.2">
      <c r="A291">
        <v>313</v>
      </c>
      <c r="B291" t="s">
        <v>147</v>
      </c>
      <c r="C291" t="s">
        <v>17</v>
      </c>
      <c r="D291" s="1">
        <v>42735</v>
      </c>
      <c r="E291" s="2">
        <v>29003000000</v>
      </c>
      <c r="F291" s="2">
        <v>18655000000</v>
      </c>
      <c r="G291" s="2">
        <v>86000000</v>
      </c>
      <c r="H291" t="s">
        <v>12</v>
      </c>
      <c r="I291" s="2">
        <v>6907000000</v>
      </c>
      <c r="J291" t="s">
        <v>19</v>
      </c>
      <c r="K291" t="s">
        <v>148</v>
      </c>
      <c r="L291">
        <f t="shared" si="4"/>
        <v>0.3567906768265352</v>
      </c>
    </row>
    <row r="292" spans="1:12" x14ac:dyDescent="0.2">
      <c r="A292">
        <v>314</v>
      </c>
      <c r="B292" t="s">
        <v>149</v>
      </c>
      <c r="C292" t="s">
        <v>11</v>
      </c>
      <c r="D292" s="1">
        <v>41274</v>
      </c>
      <c r="E292" s="2">
        <v>29119000000</v>
      </c>
      <c r="F292" s="2">
        <v>17900000000</v>
      </c>
      <c r="G292" t="s">
        <v>12</v>
      </c>
      <c r="H292" t="s">
        <v>12</v>
      </c>
      <c r="I292" s="2">
        <v>8742000000</v>
      </c>
      <c r="J292" t="s">
        <v>25</v>
      </c>
      <c r="K292" t="s">
        <v>81</v>
      </c>
      <c r="L292">
        <f t="shared" si="4"/>
        <v>0.38528108794944882</v>
      </c>
    </row>
    <row r="293" spans="1:12" x14ac:dyDescent="0.2">
      <c r="A293">
        <v>315</v>
      </c>
      <c r="B293" t="s">
        <v>149</v>
      </c>
      <c r="C293" t="s">
        <v>15</v>
      </c>
      <c r="D293" s="1">
        <v>41639</v>
      </c>
      <c r="E293" s="2">
        <v>32380000000</v>
      </c>
      <c r="F293" s="2">
        <v>20865000000</v>
      </c>
      <c r="G293" t="s">
        <v>12</v>
      </c>
      <c r="H293" t="s">
        <v>12</v>
      </c>
      <c r="I293" s="2">
        <v>9339000000</v>
      </c>
      <c r="J293" t="s">
        <v>25</v>
      </c>
      <c r="K293" t="s">
        <v>81</v>
      </c>
      <c r="L293">
        <f t="shared" si="4"/>
        <v>0.35562075355157508</v>
      </c>
    </row>
    <row r="294" spans="1:12" x14ac:dyDescent="0.2">
      <c r="A294">
        <v>316</v>
      </c>
      <c r="B294" t="s">
        <v>149</v>
      </c>
      <c r="C294" t="s">
        <v>16</v>
      </c>
      <c r="D294" s="1">
        <v>42004</v>
      </c>
      <c r="E294" s="2">
        <v>34914000000</v>
      </c>
      <c r="F294" s="2">
        <v>21334000000</v>
      </c>
      <c r="G294" t="s">
        <v>12</v>
      </c>
      <c r="H294" t="s">
        <v>12</v>
      </c>
      <c r="I294" s="2">
        <v>10276000000</v>
      </c>
      <c r="J294" t="s">
        <v>25</v>
      </c>
      <c r="K294" t="s">
        <v>81</v>
      </c>
      <c r="L294">
        <f t="shared" si="4"/>
        <v>0.38895571976857424</v>
      </c>
    </row>
    <row r="295" spans="1:12" x14ac:dyDescent="0.2">
      <c r="A295">
        <v>317</v>
      </c>
      <c r="B295" t="s">
        <v>149</v>
      </c>
      <c r="C295" t="s">
        <v>17</v>
      </c>
      <c r="D295" s="1">
        <v>42369</v>
      </c>
      <c r="E295" s="2">
        <v>37876000000</v>
      </c>
      <c r="F295" s="2">
        <v>23290000000</v>
      </c>
      <c r="G295" t="s">
        <v>12</v>
      </c>
      <c r="H295" t="s">
        <v>12</v>
      </c>
      <c r="I295" s="2">
        <v>11259000000</v>
      </c>
      <c r="J295" t="s">
        <v>25</v>
      </c>
      <c r="K295" t="s">
        <v>81</v>
      </c>
      <c r="L295">
        <f t="shared" si="4"/>
        <v>0.38509874326750448</v>
      </c>
    </row>
    <row r="296" spans="1:12" x14ac:dyDescent="0.2">
      <c r="A296">
        <v>318</v>
      </c>
      <c r="B296" t="s">
        <v>150</v>
      </c>
      <c r="C296" t="s">
        <v>11</v>
      </c>
      <c r="D296" s="1">
        <v>41274</v>
      </c>
      <c r="E296" s="2">
        <v>4111000000</v>
      </c>
      <c r="F296" s="2">
        <v>3477000000</v>
      </c>
      <c r="G296" t="s">
        <v>12</v>
      </c>
      <c r="H296" t="s">
        <v>12</v>
      </c>
      <c r="I296" s="2">
        <v>14000000</v>
      </c>
      <c r="J296" t="s">
        <v>47</v>
      </c>
      <c r="K296" t="s">
        <v>50</v>
      </c>
      <c r="L296">
        <f t="shared" si="4"/>
        <v>0.15422038433471175</v>
      </c>
    </row>
    <row r="297" spans="1:12" x14ac:dyDescent="0.2">
      <c r="A297">
        <v>319</v>
      </c>
      <c r="B297" t="s">
        <v>150</v>
      </c>
      <c r="C297" t="s">
        <v>15</v>
      </c>
      <c r="D297" s="1">
        <v>41639</v>
      </c>
      <c r="E297" s="2">
        <v>4531000000</v>
      </c>
      <c r="F297" s="2">
        <v>3748000000</v>
      </c>
      <c r="G297" t="s">
        <v>12</v>
      </c>
      <c r="H297" t="s">
        <v>12</v>
      </c>
      <c r="I297" s="2">
        <v>15000000</v>
      </c>
      <c r="J297" t="s">
        <v>47</v>
      </c>
      <c r="K297" t="s">
        <v>50</v>
      </c>
      <c r="L297">
        <f t="shared" si="4"/>
        <v>0.17280953431913482</v>
      </c>
    </row>
    <row r="298" spans="1:12" x14ac:dyDescent="0.2">
      <c r="A298">
        <v>320</v>
      </c>
      <c r="B298" t="s">
        <v>150</v>
      </c>
      <c r="C298" t="s">
        <v>16</v>
      </c>
      <c r="D298" s="1">
        <v>42004</v>
      </c>
      <c r="E298" s="2">
        <v>4945000000</v>
      </c>
      <c r="F298" s="2">
        <v>4157000000</v>
      </c>
      <c r="G298" t="s">
        <v>12</v>
      </c>
      <c r="H298" t="s">
        <v>12</v>
      </c>
      <c r="I298" s="2">
        <v>14000000</v>
      </c>
      <c r="J298" t="s">
        <v>47</v>
      </c>
      <c r="K298" t="s">
        <v>50</v>
      </c>
      <c r="L298">
        <f t="shared" si="4"/>
        <v>0.15935288169868556</v>
      </c>
    </row>
    <row r="299" spans="1:12" x14ac:dyDescent="0.2">
      <c r="A299">
        <v>321</v>
      </c>
      <c r="B299" t="s">
        <v>150</v>
      </c>
      <c r="C299" t="s">
        <v>17</v>
      </c>
      <c r="D299" s="1">
        <v>42369</v>
      </c>
      <c r="E299" s="2">
        <v>5142000000</v>
      </c>
      <c r="F299" s="2">
        <v>4195000000</v>
      </c>
      <c r="G299" t="s">
        <v>12</v>
      </c>
      <c r="H299" t="s">
        <v>12</v>
      </c>
      <c r="I299" s="2">
        <v>13000000</v>
      </c>
      <c r="J299" t="s">
        <v>47</v>
      </c>
      <c r="K299" t="s">
        <v>50</v>
      </c>
      <c r="L299">
        <f t="shared" si="4"/>
        <v>0.18416958381952553</v>
      </c>
    </row>
    <row r="300" spans="1:12" x14ac:dyDescent="0.2">
      <c r="A300">
        <v>322</v>
      </c>
      <c r="B300" t="s">
        <v>151</v>
      </c>
      <c r="C300" t="s">
        <v>11</v>
      </c>
      <c r="D300" s="1">
        <v>41274</v>
      </c>
      <c r="E300" s="2">
        <v>17085000000</v>
      </c>
      <c r="F300" s="2">
        <v>7153000000</v>
      </c>
      <c r="G300" s="2">
        <v>6043000000</v>
      </c>
      <c r="H300" t="s">
        <v>12</v>
      </c>
      <c r="I300" t="s">
        <v>12</v>
      </c>
      <c r="J300" t="s">
        <v>36</v>
      </c>
      <c r="K300" t="s">
        <v>142</v>
      </c>
      <c r="L300">
        <f t="shared" si="4"/>
        <v>0.58132865086333041</v>
      </c>
    </row>
    <row r="301" spans="1:12" x14ac:dyDescent="0.2">
      <c r="A301">
        <v>323</v>
      </c>
      <c r="B301" t="s">
        <v>151</v>
      </c>
      <c r="C301" t="s">
        <v>15</v>
      </c>
      <c r="D301" s="1">
        <v>41639</v>
      </c>
      <c r="E301" s="2">
        <v>17420000000</v>
      </c>
      <c r="F301" s="2">
        <v>7219000000</v>
      </c>
      <c r="G301" s="2">
        <v>6645000000</v>
      </c>
      <c r="H301" t="s">
        <v>12</v>
      </c>
      <c r="I301" t="s">
        <v>12</v>
      </c>
      <c r="J301" t="s">
        <v>36</v>
      </c>
      <c r="K301" t="s">
        <v>142</v>
      </c>
      <c r="L301">
        <f t="shared" si="4"/>
        <v>0.58559127439724457</v>
      </c>
    </row>
    <row r="302" spans="1:12" x14ac:dyDescent="0.2">
      <c r="A302">
        <v>324</v>
      </c>
      <c r="B302" t="s">
        <v>151</v>
      </c>
      <c r="C302" t="s">
        <v>16</v>
      </c>
      <c r="D302" s="1">
        <v>42004</v>
      </c>
      <c r="E302" s="2">
        <v>17277000000</v>
      </c>
      <c r="F302" s="2">
        <v>7168000000</v>
      </c>
      <c r="G302" s="2">
        <v>6552000000</v>
      </c>
      <c r="H302" t="s">
        <v>12</v>
      </c>
      <c r="I302" t="s">
        <v>12</v>
      </c>
      <c r="J302" t="s">
        <v>36</v>
      </c>
      <c r="K302" t="s">
        <v>142</v>
      </c>
      <c r="L302">
        <f t="shared" si="4"/>
        <v>0.58511315621925108</v>
      </c>
    </row>
    <row r="303" spans="1:12" x14ac:dyDescent="0.2">
      <c r="A303">
        <v>325</v>
      </c>
      <c r="B303" t="s">
        <v>151</v>
      </c>
      <c r="C303" t="s">
        <v>17</v>
      </c>
      <c r="D303" s="1">
        <v>42369</v>
      </c>
      <c r="E303" s="2">
        <v>16034000000</v>
      </c>
      <c r="F303" s="2">
        <v>6635000000</v>
      </c>
      <c r="G303" s="2">
        <v>6610000000</v>
      </c>
      <c r="H303" t="s">
        <v>12</v>
      </c>
      <c r="I303" t="s">
        <v>12</v>
      </c>
      <c r="J303" t="s">
        <v>36</v>
      </c>
      <c r="K303" t="s">
        <v>142</v>
      </c>
      <c r="L303">
        <f t="shared" si="4"/>
        <v>0.58619184233503807</v>
      </c>
    </row>
    <row r="304" spans="1:12" x14ac:dyDescent="0.2">
      <c r="A304">
        <v>326</v>
      </c>
      <c r="B304" t="s">
        <v>152</v>
      </c>
      <c r="C304" t="s">
        <v>11</v>
      </c>
      <c r="D304" s="1">
        <v>41455</v>
      </c>
      <c r="E304" s="2">
        <v>5533000000</v>
      </c>
      <c r="F304" s="2">
        <v>3142000000</v>
      </c>
      <c r="G304" s="2">
        <v>1291000000</v>
      </c>
      <c r="H304" s="2">
        <v>130000000</v>
      </c>
      <c r="I304" t="s">
        <v>12</v>
      </c>
      <c r="J304" t="s">
        <v>36</v>
      </c>
      <c r="K304" t="s">
        <v>142</v>
      </c>
      <c r="L304">
        <f t="shared" si="4"/>
        <v>0.43213446593168259</v>
      </c>
    </row>
    <row r="305" spans="1:12" x14ac:dyDescent="0.2">
      <c r="A305">
        <v>327</v>
      </c>
      <c r="B305" t="s">
        <v>152</v>
      </c>
      <c r="C305" t="s">
        <v>15</v>
      </c>
      <c r="D305" s="1">
        <v>41820</v>
      </c>
      <c r="E305" s="2">
        <v>5514000000</v>
      </c>
      <c r="F305" s="2">
        <v>3158000000</v>
      </c>
      <c r="G305" s="2">
        <v>1254000000</v>
      </c>
      <c r="H305" s="2">
        <v>125000000</v>
      </c>
      <c r="I305" t="s">
        <v>12</v>
      </c>
      <c r="J305" t="s">
        <v>36</v>
      </c>
      <c r="K305" t="s">
        <v>142</v>
      </c>
      <c r="L305">
        <f t="shared" si="4"/>
        <v>0.42727602466449044</v>
      </c>
    </row>
    <row r="306" spans="1:12" x14ac:dyDescent="0.2">
      <c r="A306">
        <v>328</v>
      </c>
      <c r="B306" t="s">
        <v>152</v>
      </c>
      <c r="C306" t="s">
        <v>16</v>
      </c>
      <c r="D306" s="1">
        <v>42185</v>
      </c>
      <c r="E306" s="2">
        <v>5655000000</v>
      </c>
      <c r="F306" s="2">
        <v>3190000000</v>
      </c>
      <c r="G306" s="2">
        <v>1321000000</v>
      </c>
      <c r="H306" s="2">
        <v>136000000</v>
      </c>
      <c r="I306" t="s">
        <v>12</v>
      </c>
      <c r="J306" t="s">
        <v>36</v>
      </c>
      <c r="K306" t="s">
        <v>142</v>
      </c>
      <c r="L306">
        <f t="shared" si="4"/>
        <v>0.4358974358974359</v>
      </c>
    </row>
    <row r="307" spans="1:12" x14ac:dyDescent="0.2">
      <c r="A307">
        <v>329</v>
      </c>
      <c r="B307" t="s">
        <v>152</v>
      </c>
      <c r="C307" t="s">
        <v>17</v>
      </c>
      <c r="D307" s="1">
        <v>42551</v>
      </c>
      <c r="E307" s="2">
        <v>5761000000</v>
      </c>
      <c r="F307" s="2">
        <v>3163000000</v>
      </c>
      <c r="G307" s="2">
        <v>1393000000</v>
      </c>
      <c r="H307" s="2">
        <v>141000000</v>
      </c>
      <c r="I307" t="s">
        <v>12</v>
      </c>
      <c r="J307" t="s">
        <v>36</v>
      </c>
      <c r="K307" t="s">
        <v>142</v>
      </c>
      <c r="L307">
        <f t="shared" si="4"/>
        <v>0.45096337441416423</v>
      </c>
    </row>
    <row r="308" spans="1:12" x14ac:dyDescent="0.2">
      <c r="A308">
        <v>330</v>
      </c>
      <c r="B308" t="s">
        <v>153</v>
      </c>
      <c r="C308" t="s">
        <v>11</v>
      </c>
      <c r="D308" s="1">
        <v>41639</v>
      </c>
      <c r="E308" s="2">
        <v>2666000000</v>
      </c>
      <c r="F308" s="2">
        <v>55000000</v>
      </c>
      <c r="G308" s="2">
        <v>1670000000</v>
      </c>
      <c r="H308" t="s">
        <v>12</v>
      </c>
      <c r="I308" s="2">
        <v>46000000</v>
      </c>
      <c r="J308" t="s">
        <v>47</v>
      </c>
      <c r="K308" t="s">
        <v>140</v>
      </c>
      <c r="L308">
        <f t="shared" si="4"/>
        <v>0.9793698424606152</v>
      </c>
    </row>
    <row r="309" spans="1:12" x14ac:dyDescent="0.2">
      <c r="A309">
        <v>331</v>
      </c>
      <c r="B309" t="s">
        <v>153</v>
      </c>
      <c r="C309" t="s">
        <v>15</v>
      </c>
      <c r="D309" s="1">
        <v>42004</v>
      </c>
      <c r="E309" s="2">
        <v>2607000000</v>
      </c>
      <c r="F309" s="2">
        <v>45000000</v>
      </c>
      <c r="G309" s="2">
        <v>1611000000</v>
      </c>
      <c r="H309" t="s">
        <v>12</v>
      </c>
      <c r="I309" s="2">
        <v>27000000</v>
      </c>
      <c r="J309" t="s">
        <v>47</v>
      </c>
      <c r="K309" t="s">
        <v>140</v>
      </c>
      <c r="L309">
        <f t="shared" si="4"/>
        <v>0.98273878020713468</v>
      </c>
    </row>
    <row r="310" spans="1:12" x14ac:dyDescent="0.2">
      <c r="A310">
        <v>332</v>
      </c>
      <c r="B310" t="s">
        <v>153</v>
      </c>
      <c r="C310" t="s">
        <v>16</v>
      </c>
      <c r="D310" s="1">
        <v>42369</v>
      </c>
      <c r="E310" s="2">
        <v>2819000000</v>
      </c>
      <c r="F310" s="2">
        <v>43000000</v>
      </c>
      <c r="G310" s="2">
        <v>1859000000</v>
      </c>
      <c r="H310" t="s">
        <v>12</v>
      </c>
      <c r="I310" s="2">
        <v>147000000</v>
      </c>
      <c r="J310" t="s">
        <v>47</v>
      </c>
      <c r="K310" t="s">
        <v>140</v>
      </c>
      <c r="L310">
        <f t="shared" si="4"/>
        <v>0.98474636395885062</v>
      </c>
    </row>
    <row r="311" spans="1:12" x14ac:dyDescent="0.2">
      <c r="A311">
        <v>333</v>
      </c>
      <c r="B311" t="s">
        <v>153</v>
      </c>
      <c r="C311" t="s">
        <v>17</v>
      </c>
      <c r="D311" s="1">
        <v>42735</v>
      </c>
      <c r="E311" s="2">
        <v>2960000000</v>
      </c>
      <c r="F311" s="2">
        <v>40000000</v>
      </c>
      <c r="G311" s="2">
        <v>1836000000</v>
      </c>
      <c r="H311" t="s">
        <v>12</v>
      </c>
      <c r="I311" s="2">
        <v>248000000</v>
      </c>
      <c r="J311" t="s">
        <v>47</v>
      </c>
      <c r="K311" t="s">
        <v>140</v>
      </c>
      <c r="L311">
        <f t="shared" si="4"/>
        <v>0.98648648648648651</v>
      </c>
    </row>
    <row r="312" spans="1:12" x14ac:dyDescent="0.2">
      <c r="A312">
        <v>338</v>
      </c>
      <c r="B312" t="s">
        <v>154</v>
      </c>
      <c r="C312" t="s">
        <v>11</v>
      </c>
      <c r="D312" s="1">
        <v>41639</v>
      </c>
      <c r="E312" s="2">
        <v>3214591000</v>
      </c>
      <c r="F312" s="2">
        <v>2359822000</v>
      </c>
      <c r="G312" s="2">
        <v>203733000</v>
      </c>
      <c r="H312" t="s">
        <v>12</v>
      </c>
      <c r="I312" s="2">
        <v>96054000</v>
      </c>
      <c r="J312" t="s">
        <v>19</v>
      </c>
      <c r="K312" t="s">
        <v>155</v>
      </c>
      <c r="L312">
        <f t="shared" si="4"/>
        <v>0.26590287846883165</v>
      </c>
    </row>
    <row r="313" spans="1:12" x14ac:dyDescent="0.2">
      <c r="A313">
        <v>339</v>
      </c>
      <c r="B313" t="s">
        <v>154</v>
      </c>
      <c r="C313" t="s">
        <v>15</v>
      </c>
      <c r="D313" s="1">
        <v>42004</v>
      </c>
      <c r="E313" s="2">
        <v>4108269000</v>
      </c>
      <c r="F313" s="2">
        <v>2990513000</v>
      </c>
      <c r="G313" s="2">
        <v>273897000</v>
      </c>
      <c r="H313" t="s">
        <v>12</v>
      </c>
      <c r="I313" s="2">
        <v>110474000</v>
      </c>
      <c r="J313" t="s">
        <v>19</v>
      </c>
      <c r="K313" t="s">
        <v>155</v>
      </c>
      <c r="L313">
        <f t="shared" si="4"/>
        <v>0.27207468644336585</v>
      </c>
    </row>
    <row r="314" spans="1:12" x14ac:dyDescent="0.2">
      <c r="A314">
        <v>340</v>
      </c>
      <c r="B314" t="s">
        <v>154</v>
      </c>
      <c r="C314" t="s">
        <v>16</v>
      </c>
      <c r="D314" s="1">
        <v>42369</v>
      </c>
      <c r="E314" s="2">
        <v>4501223000</v>
      </c>
      <c r="F314" s="2">
        <v>3326936000</v>
      </c>
      <c r="G314" s="2">
        <v>250214000</v>
      </c>
      <c r="H314" t="s">
        <v>12</v>
      </c>
      <c r="I314" s="2">
        <v>130368000</v>
      </c>
      <c r="J314" t="s">
        <v>19</v>
      </c>
      <c r="K314" t="s">
        <v>155</v>
      </c>
      <c r="L314">
        <f t="shared" si="4"/>
        <v>0.26088176480036651</v>
      </c>
    </row>
    <row r="315" spans="1:12" x14ac:dyDescent="0.2">
      <c r="A315">
        <v>341</v>
      </c>
      <c r="B315" t="s">
        <v>154</v>
      </c>
      <c r="C315" t="s">
        <v>17</v>
      </c>
      <c r="D315" s="1">
        <v>42735</v>
      </c>
      <c r="E315" s="2">
        <v>3904384000</v>
      </c>
      <c r="F315" s="2">
        <v>3406170000</v>
      </c>
      <c r="G315" s="2">
        <v>276240000</v>
      </c>
      <c r="H315" t="s">
        <v>12</v>
      </c>
      <c r="I315" s="2">
        <v>146368000</v>
      </c>
      <c r="J315" t="s">
        <v>19</v>
      </c>
      <c r="K315" t="s">
        <v>155</v>
      </c>
      <c r="L315">
        <f t="shared" si="4"/>
        <v>0.12760373979608564</v>
      </c>
    </row>
    <row r="316" spans="1:12" x14ac:dyDescent="0.2">
      <c r="A316">
        <v>342</v>
      </c>
      <c r="B316" t="s">
        <v>156</v>
      </c>
      <c r="C316" t="s">
        <v>11</v>
      </c>
      <c r="D316" s="1">
        <v>41639</v>
      </c>
      <c r="E316" s="2">
        <v>17301000000</v>
      </c>
      <c r="F316" s="2">
        <v>13021000000</v>
      </c>
      <c r="G316" s="2">
        <v>1827000000</v>
      </c>
      <c r="H316" s="2">
        <v>713000000</v>
      </c>
      <c r="I316" t="s">
        <v>12</v>
      </c>
      <c r="J316" t="s">
        <v>13</v>
      </c>
      <c r="K316" t="s">
        <v>157</v>
      </c>
      <c r="L316">
        <f t="shared" si="4"/>
        <v>0.24738454424599732</v>
      </c>
    </row>
    <row r="317" spans="1:12" x14ac:dyDescent="0.2">
      <c r="A317">
        <v>343</v>
      </c>
      <c r="B317" t="s">
        <v>156</v>
      </c>
      <c r="C317" t="s">
        <v>15</v>
      </c>
      <c r="D317" s="1">
        <v>42004</v>
      </c>
      <c r="E317" s="2">
        <v>19221000000</v>
      </c>
      <c r="F317" s="2">
        <v>14360000000</v>
      </c>
      <c r="G317" s="2">
        <v>2112000000</v>
      </c>
      <c r="H317" s="2">
        <v>754000000</v>
      </c>
      <c r="I317" t="s">
        <v>12</v>
      </c>
      <c r="J317" t="s">
        <v>13</v>
      </c>
      <c r="K317" t="s">
        <v>157</v>
      </c>
      <c r="L317">
        <f t="shared" si="4"/>
        <v>0.25290047344050781</v>
      </c>
    </row>
    <row r="318" spans="1:12" x14ac:dyDescent="0.2">
      <c r="A318">
        <v>344</v>
      </c>
      <c r="B318" t="s">
        <v>156</v>
      </c>
      <c r="C318" t="s">
        <v>16</v>
      </c>
      <c r="D318" s="1">
        <v>42369</v>
      </c>
      <c r="E318" s="2">
        <v>19110000000</v>
      </c>
      <c r="F318" s="2">
        <v>14163000000</v>
      </c>
      <c r="G318" s="2">
        <v>2169000000</v>
      </c>
      <c r="H318" s="2">
        <v>735000000</v>
      </c>
      <c r="I318" t="s">
        <v>12</v>
      </c>
      <c r="J318" t="s">
        <v>13</v>
      </c>
      <c r="K318" t="s">
        <v>157</v>
      </c>
      <c r="L318">
        <f t="shared" si="4"/>
        <v>0.25886970172684454</v>
      </c>
    </row>
    <row r="319" spans="1:12" x14ac:dyDescent="0.2">
      <c r="A319">
        <v>345</v>
      </c>
      <c r="B319" t="s">
        <v>156</v>
      </c>
      <c r="C319" t="s">
        <v>17</v>
      </c>
      <c r="D319" s="1">
        <v>42735</v>
      </c>
      <c r="E319" s="2">
        <v>17509000000</v>
      </c>
      <c r="F319" s="2">
        <v>13057000000</v>
      </c>
      <c r="G319" s="2">
        <v>2189000000</v>
      </c>
      <c r="H319" s="2">
        <v>636000000</v>
      </c>
      <c r="I319" t="s">
        <v>12</v>
      </c>
      <c r="J319" t="s">
        <v>13</v>
      </c>
      <c r="K319" t="s">
        <v>157</v>
      </c>
      <c r="L319">
        <f t="shared" si="4"/>
        <v>0.2542692329659032</v>
      </c>
    </row>
    <row r="320" spans="1:12" x14ac:dyDescent="0.2">
      <c r="A320">
        <v>346</v>
      </c>
      <c r="B320" t="s">
        <v>158</v>
      </c>
      <c r="C320" t="s">
        <v>11</v>
      </c>
      <c r="D320" s="1">
        <v>41639</v>
      </c>
      <c r="E320" s="2">
        <v>6566000000</v>
      </c>
      <c r="F320" s="2">
        <v>4562000000</v>
      </c>
      <c r="G320" s="2">
        <v>234000000</v>
      </c>
      <c r="H320" t="s">
        <v>12</v>
      </c>
      <c r="I320" s="2">
        <v>628000000</v>
      </c>
      <c r="J320" t="s">
        <v>42</v>
      </c>
      <c r="K320" t="s">
        <v>43</v>
      </c>
      <c r="L320">
        <f t="shared" si="4"/>
        <v>0.30520865062442892</v>
      </c>
    </row>
    <row r="321" spans="1:12" x14ac:dyDescent="0.2">
      <c r="A321">
        <v>347</v>
      </c>
      <c r="B321" t="s">
        <v>158</v>
      </c>
      <c r="C321" t="s">
        <v>15</v>
      </c>
      <c r="D321" s="1">
        <v>42004</v>
      </c>
      <c r="E321" s="2">
        <v>7179000000</v>
      </c>
      <c r="F321" s="2">
        <v>5090000000</v>
      </c>
      <c r="G321" s="2">
        <v>252000000</v>
      </c>
      <c r="H321" t="s">
        <v>12</v>
      </c>
      <c r="I321" s="2">
        <v>685000000</v>
      </c>
      <c r="J321" t="s">
        <v>42</v>
      </c>
      <c r="K321" t="s">
        <v>43</v>
      </c>
      <c r="L321">
        <f t="shared" si="4"/>
        <v>0.29098760273018531</v>
      </c>
    </row>
    <row r="322" spans="1:12" x14ac:dyDescent="0.2">
      <c r="A322">
        <v>348</v>
      </c>
      <c r="B322" t="s">
        <v>158</v>
      </c>
      <c r="C322" t="s">
        <v>16</v>
      </c>
      <c r="D322" s="1">
        <v>42369</v>
      </c>
      <c r="E322" s="2">
        <v>6456000000</v>
      </c>
      <c r="F322" s="2">
        <v>4281000000</v>
      </c>
      <c r="G322" s="2">
        <v>262000000</v>
      </c>
      <c r="H322" t="s">
        <v>12</v>
      </c>
      <c r="I322" s="2">
        <v>750000000</v>
      </c>
      <c r="J322" t="s">
        <v>42</v>
      </c>
      <c r="K322" t="s">
        <v>43</v>
      </c>
      <c r="L322">
        <f t="shared" si="4"/>
        <v>0.33689591078066916</v>
      </c>
    </row>
    <row r="323" spans="1:12" x14ac:dyDescent="0.2">
      <c r="A323">
        <v>349</v>
      </c>
      <c r="B323" t="s">
        <v>158</v>
      </c>
      <c r="C323" t="s">
        <v>17</v>
      </c>
      <c r="D323" s="1">
        <v>42735</v>
      </c>
      <c r="E323" s="2">
        <v>6399000000</v>
      </c>
      <c r="F323" s="2">
        <v>4010000000</v>
      </c>
      <c r="G323" s="2">
        <v>281000000</v>
      </c>
      <c r="H323" t="s">
        <v>12</v>
      </c>
      <c r="I323" s="2">
        <v>811000000</v>
      </c>
      <c r="J323" t="s">
        <v>42</v>
      </c>
      <c r="K323" t="s">
        <v>43</v>
      </c>
      <c r="L323">
        <f t="shared" ref="L323:L386" si="5">1-F323/E323</f>
        <v>0.37333958431004843</v>
      </c>
    </row>
    <row r="324" spans="1:12" x14ac:dyDescent="0.2">
      <c r="A324">
        <v>350</v>
      </c>
      <c r="B324" t="s">
        <v>612</v>
      </c>
      <c r="C324" t="s">
        <v>11</v>
      </c>
      <c r="D324" s="1">
        <v>41274</v>
      </c>
      <c r="E324" s="2">
        <v>8110000000</v>
      </c>
      <c r="F324" s="2">
        <v>6781000000</v>
      </c>
      <c r="G324" s="2">
        <v>1105000000</v>
      </c>
      <c r="H324" t="s">
        <v>12</v>
      </c>
      <c r="I324" s="2">
        <v>88000000</v>
      </c>
      <c r="J324" t="s">
        <v>25</v>
      </c>
      <c r="K324" t="s">
        <v>81</v>
      </c>
      <c r="L324">
        <f t="shared" si="5"/>
        <v>0.16387176325524044</v>
      </c>
    </row>
    <row r="325" spans="1:12" x14ac:dyDescent="0.2">
      <c r="A325">
        <v>351</v>
      </c>
      <c r="B325" t="s">
        <v>159</v>
      </c>
      <c r="C325" t="s">
        <v>15</v>
      </c>
      <c r="D325" s="1">
        <v>41639</v>
      </c>
      <c r="E325" s="2">
        <v>10863000000</v>
      </c>
      <c r="F325" s="2">
        <v>8995000000</v>
      </c>
      <c r="G325" s="2">
        <v>1264000000</v>
      </c>
      <c r="H325" t="s">
        <v>12</v>
      </c>
      <c r="I325" s="2">
        <v>327000000</v>
      </c>
      <c r="J325" t="s">
        <v>25</v>
      </c>
      <c r="K325" t="s">
        <v>81</v>
      </c>
      <c r="L325">
        <f t="shared" si="5"/>
        <v>0.17195986375770966</v>
      </c>
    </row>
    <row r="326" spans="1:12" x14ac:dyDescent="0.2">
      <c r="A326">
        <v>352</v>
      </c>
      <c r="B326" t="s">
        <v>159</v>
      </c>
      <c r="C326" t="s">
        <v>16</v>
      </c>
      <c r="D326" s="1">
        <v>42004</v>
      </c>
      <c r="E326" s="2">
        <v>16560000000</v>
      </c>
      <c r="F326" s="2">
        <v>12678000000</v>
      </c>
      <c r="G326" s="2">
        <v>2012000000</v>
      </c>
      <c r="H326" t="s">
        <v>12</v>
      </c>
      <c r="I326" s="2">
        <v>1406000000</v>
      </c>
      <c r="J326" t="s">
        <v>25</v>
      </c>
      <c r="K326" t="s">
        <v>81</v>
      </c>
      <c r="L326">
        <f t="shared" si="5"/>
        <v>0.23442028985507246</v>
      </c>
    </row>
    <row r="327" spans="1:12" x14ac:dyDescent="0.2">
      <c r="A327">
        <v>353</v>
      </c>
      <c r="B327" t="s">
        <v>159</v>
      </c>
      <c r="C327" t="s">
        <v>17</v>
      </c>
      <c r="D327" s="1">
        <v>42369</v>
      </c>
      <c r="E327" s="2">
        <v>22760000000</v>
      </c>
      <c r="F327" s="2">
        <v>17242000000</v>
      </c>
      <c r="G327" s="2">
        <v>2977000000</v>
      </c>
      <c r="H327" t="s">
        <v>12</v>
      </c>
      <c r="I327" s="2">
        <v>1836000000</v>
      </c>
      <c r="J327" t="s">
        <v>25</v>
      </c>
      <c r="K327" t="s">
        <v>81</v>
      </c>
      <c r="L327">
        <f t="shared" si="5"/>
        <v>0.24244288224956068</v>
      </c>
    </row>
    <row r="328" spans="1:12" x14ac:dyDescent="0.2">
      <c r="A328">
        <v>354</v>
      </c>
      <c r="B328" t="s">
        <v>160</v>
      </c>
      <c r="C328" t="s">
        <v>11</v>
      </c>
      <c r="D328" s="1">
        <v>41274</v>
      </c>
      <c r="E328" s="2">
        <v>7452000000</v>
      </c>
      <c r="F328" s="2">
        <v>4747000000</v>
      </c>
      <c r="G328" s="2">
        <v>365000000</v>
      </c>
      <c r="H328" t="s">
        <v>12</v>
      </c>
      <c r="I328" s="2">
        <v>1050000000</v>
      </c>
      <c r="J328" t="s">
        <v>42</v>
      </c>
      <c r="K328" t="s">
        <v>43</v>
      </c>
      <c r="L328">
        <f t="shared" si="5"/>
        <v>0.36298980139559844</v>
      </c>
    </row>
    <row r="329" spans="1:12" x14ac:dyDescent="0.2">
      <c r="A329">
        <v>355</v>
      </c>
      <c r="B329" t="s">
        <v>160</v>
      </c>
      <c r="C329" t="s">
        <v>15</v>
      </c>
      <c r="D329" s="1">
        <v>41639</v>
      </c>
      <c r="E329" s="2">
        <v>8106000000</v>
      </c>
      <c r="F329" s="2">
        <v>5755000000</v>
      </c>
      <c r="G329" s="2">
        <v>387000000</v>
      </c>
      <c r="H329" t="s">
        <v>12</v>
      </c>
      <c r="I329" s="2">
        <v>954000000</v>
      </c>
      <c r="J329" t="s">
        <v>42</v>
      </c>
      <c r="K329" t="s">
        <v>43</v>
      </c>
      <c r="L329">
        <f t="shared" si="5"/>
        <v>0.29003207500616823</v>
      </c>
    </row>
    <row r="330" spans="1:12" x14ac:dyDescent="0.2">
      <c r="A330">
        <v>356</v>
      </c>
      <c r="B330" t="s">
        <v>160</v>
      </c>
      <c r="C330" t="s">
        <v>16</v>
      </c>
      <c r="D330" s="1">
        <v>42004</v>
      </c>
      <c r="E330" s="2">
        <v>9226000000</v>
      </c>
      <c r="F330" s="2">
        <v>6890000000</v>
      </c>
      <c r="G330" s="2">
        <v>388000000</v>
      </c>
      <c r="H330" t="s">
        <v>12</v>
      </c>
      <c r="I330" s="2">
        <v>1013000000</v>
      </c>
      <c r="J330" t="s">
        <v>42</v>
      </c>
      <c r="K330" t="s">
        <v>43</v>
      </c>
      <c r="L330">
        <f t="shared" si="5"/>
        <v>0.2531974853674398</v>
      </c>
    </row>
    <row r="331" spans="1:12" x14ac:dyDescent="0.2">
      <c r="A331">
        <v>357</v>
      </c>
      <c r="B331" t="s">
        <v>160</v>
      </c>
      <c r="C331" t="s">
        <v>17</v>
      </c>
      <c r="D331" s="1">
        <v>42369</v>
      </c>
      <c r="E331" s="2">
        <v>7386000000</v>
      </c>
      <c r="F331" s="2">
        <v>5109000000</v>
      </c>
      <c r="G331" s="2">
        <v>374000000</v>
      </c>
      <c r="H331" t="s">
        <v>12</v>
      </c>
      <c r="I331" s="2">
        <v>970000000</v>
      </c>
      <c r="J331" t="s">
        <v>42</v>
      </c>
      <c r="K331" t="s">
        <v>43</v>
      </c>
      <c r="L331">
        <f t="shared" si="5"/>
        <v>0.3082859463850528</v>
      </c>
    </row>
    <row r="332" spans="1:12" x14ac:dyDescent="0.2">
      <c r="A332">
        <v>358</v>
      </c>
      <c r="B332" t="s">
        <v>161</v>
      </c>
      <c r="C332" t="s">
        <v>11</v>
      </c>
      <c r="D332" s="1">
        <v>41274</v>
      </c>
      <c r="E332" s="2">
        <v>23771000000</v>
      </c>
      <c r="F332" s="2">
        <v>1403000000</v>
      </c>
      <c r="G332" s="2">
        <v>11188000000</v>
      </c>
      <c r="H332" t="s">
        <v>12</v>
      </c>
      <c r="I332" s="2">
        <v>5024000000</v>
      </c>
      <c r="J332" t="s">
        <v>47</v>
      </c>
      <c r="K332" t="s">
        <v>100</v>
      </c>
      <c r="L332">
        <f t="shared" si="5"/>
        <v>0.94097850321820709</v>
      </c>
    </row>
    <row r="333" spans="1:12" x14ac:dyDescent="0.2">
      <c r="A333">
        <v>359</v>
      </c>
      <c r="B333" t="s">
        <v>161</v>
      </c>
      <c r="C333" t="s">
        <v>15</v>
      </c>
      <c r="D333" s="1">
        <v>41639</v>
      </c>
      <c r="E333" s="2">
        <v>24176000000</v>
      </c>
      <c r="F333" s="2">
        <v>1241000000</v>
      </c>
      <c r="G333" s="2">
        <v>11682000000</v>
      </c>
      <c r="H333" t="s">
        <v>12</v>
      </c>
      <c r="I333" s="2">
        <v>4124000000</v>
      </c>
      <c r="J333" t="s">
        <v>47</v>
      </c>
      <c r="K333" t="s">
        <v>100</v>
      </c>
      <c r="L333">
        <f t="shared" si="5"/>
        <v>0.948668100595632</v>
      </c>
    </row>
    <row r="334" spans="1:12" x14ac:dyDescent="0.2">
      <c r="A334">
        <v>360</v>
      </c>
      <c r="B334" t="s">
        <v>161</v>
      </c>
      <c r="C334" t="s">
        <v>16</v>
      </c>
      <c r="D334" s="1">
        <v>42004</v>
      </c>
      <c r="E334" s="2">
        <v>23869000000</v>
      </c>
      <c r="F334" s="2">
        <v>1088000000</v>
      </c>
      <c r="G334" s="2">
        <v>11648000000</v>
      </c>
      <c r="H334" t="s">
        <v>12</v>
      </c>
      <c r="I334" s="2">
        <v>4073000000</v>
      </c>
      <c r="J334" t="s">
        <v>47</v>
      </c>
      <c r="K334" t="s">
        <v>100</v>
      </c>
      <c r="L334">
        <f t="shared" si="5"/>
        <v>0.95441786417529018</v>
      </c>
    </row>
    <row r="335" spans="1:12" x14ac:dyDescent="0.2">
      <c r="A335">
        <v>361</v>
      </c>
      <c r="B335" t="s">
        <v>161</v>
      </c>
      <c r="C335" t="s">
        <v>17</v>
      </c>
      <c r="D335" s="1">
        <v>42369</v>
      </c>
      <c r="E335" s="2">
        <v>25038000000</v>
      </c>
      <c r="F335" s="2">
        <v>1091000000</v>
      </c>
      <c r="G335" s="2">
        <v>12566000000</v>
      </c>
      <c r="H335" t="s">
        <v>12</v>
      </c>
      <c r="I335" s="2">
        <v>4966000000</v>
      </c>
      <c r="J335" t="s">
        <v>47</v>
      </c>
      <c r="K335" t="s">
        <v>100</v>
      </c>
      <c r="L335">
        <f t="shared" si="5"/>
        <v>0.95642623212716671</v>
      </c>
    </row>
    <row r="336" spans="1:12" x14ac:dyDescent="0.2">
      <c r="A336">
        <v>362</v>
      </c>
      <c r="B336" t="s">
        <v>162</v>
      </c>
      <c r="C336" t="s">
        <v>11</v>
      </c>
      <c r="D336" s="1">
        <v>41274</v>
      </c>
      <c r="E336" s="2">
        <v>1204546000</v>
      </c>
      <c r="F336" s="2">
        <v>290054000</v>
      </c>
      <c r="G336" s="2">
        <v>170113000</v>
      </c>
      <c r="H336" t="s">
        <v>12</v>
      </c>
      <c r="I336" s="2">
        <v>451405000</v>
      </c>
      <c r="J336" t="s">
        <v>83</v>
      </c>
      <c r="K336" t="s">
        <v>84</v>
      </c>
      <c r="L336">
        <f t="shared" si="5"/>
        <v>0.75920056187144369</v>
      </c>
    </row>
    <row r="337" spans="1:12" x14ac:dyDescent="0.2">
      <c r="A337">
        <v>363</v>
      </c>
      <c r="B337" t="s">
        <v>162</v>
      </c>
      <c r="C337" t="s">
        <v>15</v>
      </c>
      <c r="D337" s="1">
        <v>41639</v>
      </c>
      <c r="E337" s="2">
        <v>1746278000</v>
      </c>
      <c r="F337" s="2">
        <v>400281000</v>
      </c>
      <c r="G337" s="2">
        <v>147651000</v>
      </c>
      <c r="H337" t="s">
        <v>12</v>
      </c>
      <c r="I337" s="2">
        <v>651052000</v>
      </c>
      <c r="J337" t="s">
        <v>83</v>
      </c>
      <c r="K337" t="s">
        <v>84</v>
      </c>
      <c r="L337">
        <f t="shared" si="5"/>
        <v>0.77078048283263034</v>
      </c>
    </row>
    <row r="338" spans="1:12" x14ac:dyDescent="0.2">
      <c r="A338">
        <v>364</v>
      </c>
      <c r="B338" t="s">
        <v>162</v>
      </c>
      <c r="C338" t="s">
        <v>16</v>
      </c>
      <c r="D338" s="1">
        <v>42004</v>
      </c>
      <c r="E338" s="2">
        <v>2173011000</v>
      </c>
      <c r="F338" s="2">
        <v>524880000</v>
      </c>
      <c r="G338" s="2">
        <v>129602000</v>
      </c>
      <c r="H338" t="s">
        <v>12</v>
      </c>
      <c r="I338" s="2">
        <v>632760000</v>
      </c>
      <c r="J338" t="s">
        <v>83</v>
      </c>
      <c r="K338" t="s">
        <v>84</v>
      </c>
      <c r="L338">
        <f t="shared" si="5"/>
        <v>0.75845497330662381</v>
      </c>
    </row>
    <row r="339" spans="1:12" x14ac:dyDescent="0.2">
      <c r="A339">
        <v>365</v>
      </c>
      <c r="B339" t="s">
        <v>162</v>
      </c>
      <c r="C339" t="s">
        <v>17</v>
      </c>
      <c r="D339" s="1">
        <v>42369</v>
      </c>
      <c r="E339" s="2">
        <v>1357150000</v>
      </c>
      <c r="F339" s="2">
        <v>580994000</v>
      </c>
      <c r="G339" s="2">
        <v>112253000</v>
      </c>
      <c r="H339" t="s">
        <v>12</v>
      </c>
      <c r="I339" s="2">
        <v>622211000</v>
      </c>
      <c r="J339" t="s">
        <v>83</v>
      </c>
      <c r="K339" t="s">
        <v>84</v>
      </c>
      <c r="L339">
        <f t="shared" si="5"/>
        <v>0.57190141104520498</v>
      </c>
    </row>
    <row r="340" spans="1:12" x14ac:dyDescent="0.2">
      <c r="A340">
        <v>366</v>
      </c>
      <c r="B340" t="s">
        <v>163</v>
      </c>
      <c r="C340" t="s">
        <v>11</v>
      </c>
      <c r="D340" s="1">
        <v>41547</v>
      </c>
      <c r="E340" s="2">
        <v>4474000000</v>
      </c>
      <c r="F340" s="2">
        <v>3103000000</v>
      </c>
      <c r="G340" s="2">
        <v>495000000</v>
      </c>
      <c r="H340" t="s">
        <v>12</v>
      </c>
      <c r="I340" t="s">
        <v>12</v>
      </c>
      <c r="J340" t="s">
        <v>13</v>
      </c>
      <c r="K340" t="s">
        <v>164</v>
      </c>
      <c r="L340">
        <f t="shared" si="5"/>
        <v>0.3064371926687528</v>
      </c>
    </row>
    <row r="341" spans="1:12" x14ac:dyDescent="0.2">
      <c r="A341">
        <v>367</v>
      </c>
      <c r="B341" t="s">
        <v>163</v>
      </c>
      <c r="C341" t="s">
        <v>15</v>
      </c>
      <c r="D341" s="1">
        <v>41912</v>
      </c>
      <c r="E341" s="2">
        <v>4979000000</v>
      </c>
      <c r="F341" s="2">
        <v>3469000000</v>
      </c>
      <c r="G341" s="2">
        <v>594000000</v>
      </c>
      <c r="H341" t="s">
        <v>12</v>
      </c>
      <c r="I341" t="s">
        <v>12</v>
      </c>
      <c r="J341" t="s">
        <v>13</v>
      </c>
      <c r="K341" t="s">
        <v>164</v>
      </c>
      <c r="L341">
        <f t="shared" si="5"/>
        <v>0.30327374974894561</v>
      </c>
    </row>
    <row r="342" spans="1:12" x14ac:dyDescent="0.2">
      <c r="A342">
        <v>368</v>
      </c>
      <c r="B342" t="s">
        <v>163</v>
      </c>
      <c r="C342" t="s">
        <v>16</v>
      </c>
      <c r="D342" s="1">
        <v>42277</v>
      </c>
      <c r="E342" s="2">
        <v>5244000000</v>
      </c>
      <c r="F342" s="2">
        <v>3630000000</v>
      </c>
      <c r="G342" s="2">
        <v>606000000</v>
      </c>
      <c r="H342" t="s">
        <v>12</v>
      </c>
      <c r="I342" t="s">
        <v>12</v>
      </c>
      <c r="J342" t="s">
        <v>13</v>
      </c>
      <c r="K342" t="s">
        <v>164</v>
      </c>
      <c r="L342">
        <f t="shared" si="5"/>
        <v>0.30778032036613268</v>
      </c>
    </row>
    <row r="343" spans="1:12" x14ac:dyDescent="0.2">
      <c r="A343">
        <v>369</v>
      </c>
      <c r="B343" t="s">
        <v>163</v>
      </c>
      <c r="C343" t="s">
        <v>17</v>
      </c>
      <c r="D343" s="1">
        <v>42643</v>
      </c>
      <c r="E343" s="2">
        <v>5259000000</v>
      </c>
      <c r="F343" s="2">
        <v>3642000000</v>
      </c>
      <c r="G343" s="2">
        <v>638000000</v>
      </c>
      <c r="H343" t="s">
        <v>12</v>
      </c>
      <c r="I343" t="s">
        <v>12</v>
      </c>
      <c r="J343" t="s">
        <v>13</v>
      </c>
      <c r="K343" t="s">
        <v>164</v>
      </c>
      <c r="L343">
        <f t="shared" si="5"/>
        <v>0.30747290359383916</v>
      </c>
    </row>
    <row r="344" spans="1:12" x14ac:dyDescent="0.2">
      <c r="A344">
        <v>370</v>
      </c>
      <c r="B344" t="s">
        <v>165</v>
      </c>
      <c r="C344" t="s">
        <v>11</v>
      </c>
      <c r="D344" s="1">
        <v>41578</v>
      </c>
      <c r="E344" s="2">
        <v>1587725000</v>
      </c>
      <c r="F344" s="2">
        <v>560917000</v>
      </c>
      <c r="G344" s="2">
        <v>610735000</v>
      </c>
      <c r="H344" s="2">
        <v>58827000</v>
      </c>
      <c r="I344" s="2">
        <v>30239000</v>
      </c>
      <c r="J344" t="s">
        <v>25</v>
      </c>
      <c r="K344" t="s">
        <v>166</v>
      </c>
      <c r="L344">
        <f t="shared" si="5"/>
        <v>0.64671652836605831</v>
      </c>
    </row>
    <row r="345" spans="1:12" x14ac:dyDescent="0.2">
      <c r="A345">
        <v>371</v>
      </c>
      <c r="B345" t="s">
        <v>165</v>
      </c>
      <c r="C345" t="s">
        <v>15</v>
      </c>
      <c r="D345" s="1">
        <v>41943</v>
      </c>
      <c r="E345" s="2">
        <v>1717776000</v>
      </c>
      <c r="F345" s="2">
        <v>626206000</v>
      </c>
      <c r="G345" s="2">
        <v>683115000</v>
      </c>
      <c r="H345" s="2">
        <v>66259000</v>
      </c>
      <c r="I345" s="2">
        <v>35710000</v>
      </c>
      <c r="J345" t="s">
        <v>25</v>
      </c>
      <c r="K345" t="s">
        <v>166</v>
      </c>
      <c r="L345">
        <f t="shared" si="5"/>
        <v>0.63545537951397624</v>
      </c>
    </row>
    <row r="346" spans="1:12" x14ac:dyDescent="0.2">
      <c r="A346">
        <v>372</v>
      </c>
      <c r="B346" t="s">
        <v>165</v>
      </c>
      <c r="C346" t="s">
        <v>16</v>
      </c>
      <c r="D346" s="1">
        <v>42308</v>
      </c>
      <c r="E346" s="2">
        <v>1797060000</v>
      </c>
      <c r="F346" s="2">
        <v>726798000</v>
      </c>
      <c r="G346" s="2">
        <v>712543000</v>
      </c>
      <c r="H346" s="2">
        <v>69589000</v>
      </c>
      <c r="I346" s="2">
        <v>51459000</v>
      </c>
      <c r="J346" t="s">
        <v>25</v>
      </c>
      <c r="K346" t="s">
        <v>166</v>
      </c>
      <c r="L346">
        <f t="shared" si="5"/>
        <v>0.59556275249574298</v>
      </c>
    </row>
    <row r="347" spans="1:12" x14ac:dyDescent="0.2">
      <c r="A347">
        <v>373</v>
      </c>
      <c r="B347" t="s">
        <v>165</v>
      </c>
      <c r="C347" t="s">
        <v>17</v>
      </c>
      <c r="D347" s="1">
        <v>42674</v>
      </c>
      <c r="E347" s="2">
        <v>1966814000</v>
      </c>
      <c r="F347" s="2">
        <v>793735000</v>
      </c>
      <c r="G347" s="2">
        <v>722798000</v>
      </c>
      <c r="H347" s="2">
        <v>65411000</v>
      </c>
      <c r="I347" s="2">
        <v>60790000</v>
      </c>
      <c r="J347" t="s">
        <v>25</v>
      </c>
      <c r="K347" t="s">
        <v>166</v>
      </c>
      <c r="L347">
        <f t="shared" si="5"/>
        <v>0.59643616529066801</v>
      </c>
    </row>
    <row r="348" spans="1:12" x14ac:dyDescent="0.2">
      <c r="A348">
        <v>374</v>
      </c>
      <c r="B348" t="s">
        <v>167</v>
      </c>
      <c r="C348" t="s">
        <v>11</v>
      </c>
      <c r="D348" s="1">
        <v>41518</v>
      </c>
      <c r="E348" s="2">
        <v>105156000000</v>
      </c>
      <c r="F348" s="2">
        <v>91948000000</v>
      </c>
      <c r="G348" s="2">
        <v>10104000000</v>
      </c>
      <c r="H348" t="s">
        <v>12</v>
      </c>
      <c r="I348" t="s">
        <v>12</v>
      </c>
      <c r="J348" t="s">
        <v>36</v>
      </c>
      <c r="K348" t="s">
        <v>168</v>
      </c>
      <c r="L348">
        <f t="shared" si="5"/>
        <v>0.12560386473429952</v>
      </c>
    </row>
    <row r="349" spans="1:12" x14ac:dyDescent="0.2">
      <c r="A349">
        <v>375</v>
      </c>
      <c r="B349" t="s">
        <v>167</v>
      </c>
      <c r="C349" t="s">
        <v>15</v>
      </c>
      <c r="D349" s="1">
        <v>41882</v>
      </c>
      <c r="E349" s="2">
        <v>112640000000</v>
      </c>
      <c r="F349" s="2">
        <v>98458000000</v>
      </c>
      <c r="G349" s="2">
        <v>10899000000</v>
      </c>
      <c r="H349" t="s">
        <v>12</v>
      </c>
      <c r="I349" t="s">
        <v>12</v>
      </c>
      <c r="J349" t="s">
        <v>36</v>
      </c>
      <c r="K349" t="s">
        <v>168</v>
      </c>
      <c r="L349">
        <f t="shared" si="5"/>
        <v>0.12590553977272723</v>
      </c>
    </row>
    <row r="350" spans="1:12" x14ac:dyDescent="0.2">
      <c r="A350">
        <v>376</v>
      </c>
      <c r="B350" t="s">
        <v>167</v>
      </c>
      <c r="C350" t="s">
        <v>16</v>
      </c>
      <c r="D350" s="1">
        <v>42246</v>
      </c>
      <c r="E350" s="2">
        <v>116199000000</v>
      </c>
      <c r="F350" s="2">
        <v>101065000000</v>
      </c>
      <c r="G350" s="2">
        <v>11445000000</v>
      </c>
      <c r="H350" t="s">
        <v>12</v>
      </c>
      <c r="I350" t="s">
        <v>12</v>
      </c>
      <c r="J350" t="s">
        <v>36</v>
      </c>
      <c r="K350" t="s">
        <v>168</v>
      </c>
      <c r="L350">
        <f t="shared" si="5"/>
        <v>0.13024208469952414</v>
      </c>
    </row>
    <row r="351" spans="1:12" x14ac:dyDescent="0.2">
      <c r="A351">
        <v>377</v>
      </c>
      <c r="B351" t="s">
        <v>167</v>
      </c>
      <c r="C351" t="s">
        <v>17</v>
      </c>
      <c r="D351" s="1">
        <v>42610</v>
      </c>
      <c r="E351" s="2">
        <v>118719000000</v>
      </c>
      <c r="F351" s="2">
        <v>102901000000</v>
      </c>
      <c r="G351" s="2">
        <v>12068000000</v>
      </c>
      <c r="H351" t="s">
        <v>12</v>
      </c>
      <c r="I351" t="s">
        <v>12</v>
      </c>
      <c r="J351" t="s">
        <v>36</v>
      </c>
      <c r="K351" t="s">
        <v>168</v>
      </c>
      <c r="L351">
        <f t="shared" si="5"/>
        <v>0.13323899291604546</v>
      </c>
    </row>
    <row r="352" spans="1:12" x14ac:dyDescent="0.2">
      <c r="A352">
        <v>378</v>
      </c>
      <c r="B352" t="s">
        <v>169</v>
      </c>
      <c r="C352" t="s">
        <v>11</v>
      </c>
      <c r="D352" s="1">
        <v>37802</v>
      </c>
      <c r="E352" s="2">
        <v>1577000</v>
      </c>
      <c r="F352" s="2">
        <v>258000</v>
      </c>
      <c r="G352" s="2">
        <v>2410000</v>
      </c>
      <c r="H352" s="2">
        <v>65000</v>
      </c>
      <c r="I352" t="s">
        <v>12</v>
      </c>
      <c r="J352" t="s">
        <v>36</v>
      </c>
      <c r="K352" t="s">
        <v>170</v>
      </c>
      <c r="L352">
        <f t="shared" si="5"/>
        <v>0.83639822447685486</v>
      </c>
    </row>
    <row r="353" spans="1:12" x14ac:dyDescent="0.2">
      <c r="A353">
        <v>379</v>
      </c>
      <c r="B353" t="s">
        <v>169</v>
      </c>
      <c r="C353" t="s">
        <v>15</v>
      </c>
      <c r="D353" s="1">
        <v>38168</v>
      </c>
      <c r="E353" s="2">
        <v>1514000</v>
      </c>
      <c r="F353" s="2">
        <v>142000</v>
      </c>
      <c r="G353" s="2">
        <v>3940000</v>
      </c>
      <c r="H353" s="2">
        <v>30000</v>
      </c>
      <c r="I353" s="2">
        <v>163000</v>
      </c>
      <c r="J353" t="s">
        <v>36</v>
      </c>
      <c r="K353" t="s">
        <v>170</v>
      </c>
      <c r="L353">
        <f t="shared" si="5"/>
        <v>0.90620871862615582</v>
      </c>
    </row>
    <row r="354" spans="1:12" x14ac:dyDescent="0.2">
      <c r="A354">
        <v>380</v>
      </c>
      <c r="B354" t="s">
        <v>169</v>
      </c>
      <c r="C354" t="s">
        <v>16</v>
      </c>
      <c r="D354" s="1">
        <v>38776</v>
      </c>
      <c r="E354" s="2">
        <v>79562000</v>
      </c>
      <c r="F354" s="2">
        <v>75508000</v>
      </c>
      <c r="G354" s="2">
        <v>15359000</v>
      </c>
      <c r="H354" t="s">
        <v>12</v>
      </c>
      <c r="I354" t="s">
        <v>12</v>
      </c>
      <c r="J354" t="s">
        <v>36</v>
      </c>
      <c r="K354" t="s">
        <v>170</v>
      </c>
      <c r="L354">
        <f t="shared" si="5"/>
        <v>5.0953973002186959E-2</v>
      </c>
    </row>
    <row r="355" spans="1:12" x14ac:dyDescent="0.2">
      <c r="A355">
        <v>381</v>
      </c>
      <c r="B355" t="s">
        <v>169</v>
      </c>
      <c r="C355" t="s">
        <v>17</v>
      </c>
      <c r="D355" s="1">
        <v>39141</v>
      </c>
      <c r="E355" s="2">
        <v>99642000</v>
      </c>
      <c r="F355" s="2">
        <v>84477000</v>
      </c>
      <c r="G355" s="2">
        <v>25853000</v>
      </c>
      <c r="H355" t="s">
        <v>12</v>
      </c>
      <c r="I355" t="s">
        <v>12</v>
      </c>
      <c r="J355" t="s">
        <v>36</v>
      </c>
      <c r="K355" t="s">
        <v>170</v>
      </c>
      <c r="L355">
        <f t="shared" si="5"/>
        <v>0.15219485759017282</v>
      </c>
    </row>
    <row r="356" spans="1:12" x14ac:dyDescent="0.2">
      <c r="A356">
        <v>382</v>
      </c>
      <c r="B356" t="s">
        <v>171</v>
      </c>
      <c r="C356" t="s">
        <v>11</v>
      </c>
      <c r="D356" s="1">
        <v>41483</v>
      </c>
      <c r="E356" s="2">
        <v>8052000000</v>
      </c>
      <c r="F356" s="2">
        <v>5140000000</v>
      </c>
      <c r="G356" s="2">
        <v>1653000000</v>
      </c>
      <c r="H356" s="2">
        <v>128000000</v>
      </c>
      <c r="I356" t="s">
        <v>12</v>
      </c>
      <c r="J356" t="s">
        <v>36</v>
      </c>
      <c r="K356" t="s">
        <v>124</v>
      </c>
      <c r="L356">
        <f t="shared" si="5"/>
        <v>0.36164927968206662</v>
      </c>
    </row>
    <row r="357" spans="1:12" x14ac:dyDescent="0.2">
      <c r="A357">
        <v>383</v>
      </c>
      <c r="B357" t="s">
        <v>171</v>
      </c>
      <c r="C357" t="s">
        <v>15</v>
      </c>
      <c r="D357" s="1">
        <v>41854</v>
      </c>
      <c r="E357" s="2">
        <v>8268000000</v>
      </c>
      <c r="F357" s="2">
        <v>5297000000</v>
      </c>
      <c r="G357" s="2">
        <v>1527000000</v>
      </c>
      <c r="H357" s="2">
        <v>122000000</v>
      </c>
      <c r="I357" t="s">
        <v>12</v>
      </c>
      <c r="J357" t="s">
        <v>36</v>
      </c>
      <c r="K357" t="s">
        <v>124</v>
      </c>
      <c r="L357">
        <f t="shared" si="5"/>
        <v>0.35933720367682631</v>
      </c>
    </row>
    <row r="358" spans="1:12" x14ac:dyDescent="0.2">
      <c r="A358">
        <v>384</v>
      </c>
      <c r="B358" t="s">
        <v>171</v>
      </c>
      <c r="C358" t="s">
        <v>16</v>
      </c>
      <c r="D358" s="1">
        <v>42218</v>
      </c>
      <c r="E358" s="2">
        <v>8082000000</v>
      </c>
      <c r="F358" s="2">
        <v>5300000000</v>
      </c>
      <c r="G358" s="2">
        <v>1509000000</v>
      </c>
      <c r="H358" s="2">
        <v>117000000</v>
      </c>
      <c r="I358" t="s">
        <v>12</v>
      </c>
      <c r="J358" t="s">
        <v>36</v>
      </c>
      <c r="K358" t="s">
        <v>124</v>
      </c>
      <c r="L358">
        <f t="shared" si="5"/>
        <v>0.34422172729522393</v>
      </c>
    </row>
    <row r="359" spans="1:12" x14ac:dyDescent="0.2">
      <c r="A359">
        <v>385</v>
      </c>
      <c r="B359" t="s">
        <v>171</v>
      </c>
      <c r="C359" t="s">
        <v>17</v>
      </c>
      <c r="D359" s="1">
        <v>42582</v>
      </c>
      <c r="E359" s="2">
        <v>7961000000</v>
      </c>
      <c r="F359" s="2">
        <v>5181000000</v>
      </c>
      <c r="G359" s="2">
        <v>1665000000</v>
      </c>
      <c r="H359" s="2">
        <v>124000000</v>
      </c>
      <c r="I359" t="s">
        <v>12</v>
      </c>
      <c r="J359" t="s">
        <v>36</v>
      </c>
      <c r="K359" t="s">
        <v>124</v>
      </c>
      <c r="L359">
        <f t="shared" si="5"/>
        <v>0.34920236151237283</v>
      </c>
    </row>
    <row r="360" spans="1:12" x14ac:dyDescent="0.2">
      <c r="A360">
        <v>386</v>
      </c>
      <c r="B360" t="s">
        <v>172</v>
      </c>
      <c r="C360" t="s">
        <v>11</v>
      </c>
      <c r="D360" s="1">
        <v>41305</v>
      </c>
      <c r="E360" s="2">
        <v>3050195000</v>
      </c>
      <c r="F360" s="2">
        <v>683579000</v>
      </c>
      <c r="G360" s="2">
        <v>2047847000</v>
      </c>
      <c r="H360" s="2">
        <v>429479000</v>
      </c>
      <c r="I360" t="s">
        <v>12</v>
      </c>
      <c r="J360" t="s">
        <v>22</v>
      </c>
      <c r="K360" t="s">
        <v>57</v>
      </c>
      <c r="L360">
        <f t="shared" si="5"/>
        <v>0.7758900660449578</v>
      </c>
    </row>
    <row r="361" spans="1:12" x14ac:dyDescent="0.2">
      <c r="A361">
        <v>387</v>
      </c>
      <c r="B361" t="s">
        <v>172</v>
      </c>
      <c r="C361" t="s">
        <v>15</v>
      </c>
      <c r="D361" s="1">
        <v>41670</v>
      </c>
      <c r="E361" s="2">
        <v>4071003000</v>
      </c>
      <c r="F361" s="2">
        <v>968428000</v>
      </c>
      <c r="G361" s="2">
        <v>2764851000</v>
      </c>
      <c r="H361" s="2">
        <v>623798000</v>
      </c>
      <c r="I361" t="s">
        <v>12</v>
      </c>
      <c r="J361" t="s">
        <v>22</v>
      </c>
      <c r="K361" t="s">
        <v>57</v>
      </c>
      <c r="L361">
        <f t="shared" si="5"/>
        <v>0.76211562605087735</v>
      </c>
    </row>
    <row r="362" spans="1:12" x14ac:dyDescent="0.2">
      <c r="A362">
        <v>388</v>
      </c>
      <c r="B362" t="s">
        <v>172</v>
      </c>
      <c r="C362" t="s">
        <v>16</v>
      </c>
      <c r="D362" s="1">
        <v>42035</v>
      </c>
      <c r="E362" s="2">
        <v>5373586000</v>
      </c>
      <c r="F362" s="2">
        <v>1289270000</v>
      </c>
      <c r="G362" s="2">
        <v>3437032000</v>
      </c>
      <c r="H362" s="2">
        <v>792917000</v>
      </c>
      <c r="I362" t="s">
        <v>12</v>
      </c>
      <c r="J362" t="s">
        <v>22</v>
      </c>
      <c r="K362" t="s">
        <v>57</v>
      </c>
      <c r="L362">
        <f t="shared" si="5"/>
        <v>0.76007269633350982</v>
      </c>
    </row>
    <row r="363" spans="1:12" x14ac:dyDescent="0.2">
      <c r="A363">
        <v>389</v>
      </c>
      <c r="B363" t="s">
        <v>172</v>
      </c>
      <c r="C363" t="s">
        <v>17</v>
      </c>
      <c r="D363" s="1">
        <v>42400</v>
      </c>
      <c r="E363" s="2">
        <v>6667216000</v>
      </c>
      <c r="F363" s="2">
        <v>1654548000</v>
      </c>
      <c r="G363" s="2">
        <v>3951445000</v>
      </c>
      <c r="H363" s="2">
        <v>946300000</v>
      </c>
      <c r="I363" t="s">
        <v>12</v>
      </c>
      <c r="J363" t="s">
        <v>22</v>
      </c>
      <c r="K363" t="s">
        <v>57</v>
      </c>
      <c r="L363">
        <f t="shared" si="5"/>
        <v>0.75183824852832126</v>
      </c>
    </row>
    <row r="364" spans="1:12" x14ac:dyDescent="0.2">
      <c r="A364">
        <v>390</v>
      </c>
      <c r="B364" t="s">
        <v>173</v>
      </c>
      <c r="C364" t="s">
        <v>11</v>
      </c>
      <c r="D364" s="1">
        <v>41482</v>
      </c>
      <c r="E364" s="2">
        <v>48607000000</v>
      </c>
      <c r="F364" s="2">
        <v>19167000000</v>
      </c>
      <c r="G364" s="2">
        <v>11802000000</v>
      </c>
      <c r="H364" s="2">
        <v>5942000000</v>
      </c>
      <c r="I364" s="2">
        <v>395000000</v>
      </c>
      <c r="J364" t="s">
        <v>22</v>
      </c>
      <c r="K364" t="s">
        <v>174</v>
      </c>
      <c r="L364">
        <f t="shared" si="5"/>
        <v>0.60567407986503996</v>
      </c>
    </row>
    <row r="365" spans="1:12" x14ac:dyDescent="0.2">
      <c r="A365">
        <v>391</v>
      </c>
      <c r="B365" t="s">
        <v>173</v>
      </c>
      <c r="C365" t="s">
        <v>15</v>
      </c>
      <c r="D365" s="1">
        <v>41846</v>
      </c>
      <c r="E365" s="2">
        <v>47142000000</v>
      </c>
      <c r="F365" s="2">
        <v>19373000000</v>
      </c>
      <c r="G365" s="2">
        <v>11437000000</v>
      </c>
      <c r="H365" s="2">
        <v>6294000000</v>
      </c>
      <c r="I365" s="2">
        <v>275000000</v>
      </c>
      <c r="J365" t="s">
        <v>22</v>
      </c>
      <c r="K365" t="s">
        <v>174</v>
      </c>
      <c r="L365">
        <f t="shared" si="5"/>
        <v>0.58905010394128376</v>
      </c>
    </row>
    <row r="366" spans="1:12" x14ac:dyDescent="0.2">
      <c r="A366">
        <v>392</v>
      </c>
      <c r="B366" t="s">
        <v>173</v>
      </c>
      <c r="C366" t="s">
        <v>16</v>
      </c>
      <c r="D366" s="1">
        <v>42210</v>
      </c>
      <c r="E366" s="2">
        <v>49161000000</v>
      </c>
      <c r="F366" s="2">
        <v>19480000000</v>
      </c>
      <c r="G366" s="2">
        <v>11861000000</v>
      </c>
      <c r="H366" s="2">
        <v>6207000000</v>
      </c>
      <c r="I366" s="2">
        <v>359000000</v>
      </c>
      <c r="J366" t="s">
        <v>22</v>
      </c>
      <c r="K366" t="s">
        <v>174</v>
      </c>
      <c r="L366">
        <f t="shared" si="5"/>
        <v>0.60375094078639568</v>
      </c>
    </row>
    <row r="367" spans="1:12" x14ac:dyDescent="0.2">
      <c r="A367">
        <v>393</v>
      </c>
      <c r="B367" t="s">
        <v>173</v>
      </c>
      <c r="C367" t="s">
        <v>17</v>
      </c>
      <c r="D367" s="1">
        <v>42581</v>
      </c>
      <c r="E367" s="2">
        <v>49247000000</v>
      </c>
      <c r="F367" s="2">
        <v>18287000000</v>
      </c>
      <c r="G367" s="2">
        <v>11433000000</v>
      </c>
      <c r="H367" s="2">
        <v>6296000000</v>
      </c>
      <c r="I367" s="2">
        <v>303000000</v>
      </c>
      <c r="J367" t="s">
        <v>22</v>
      </c>
      <c r="K367" t="s">
        <v>174</v>
      </c>
      <c r="L367">
        <f t="shared" si="5"/>
        <v>0.62866773610575266</v>
      </c>
    </row>
    <row r="368" spans="1:12" x14ac:dyDescent="0.2">
      <c r="A368">
        <v>394</v>
      </c>
      <c r="B368" t="s">
        <v>175</v>
      </c>
      <c r="C368" t="s">
        <v>11</v>
      </c>
      <c r="D368" s="1">
        <v>42097</v>
      </c>
      <c r="E368" s="2">
        <v>4069746000</v>
      </c>
      <c r="F368" s="2">
        <v>3282301000</v>
      </c>
      <c r="G368" s="2">
        <v>194207000</v>
      </c>
      <c r="H368" t="s">
        <v>12</v>
      </c>
      <c r="I368" s="2">
        <v>137058000</v>
      </c>
      <c r="J368" t="s">
        <v>22</v>
      </c>
      <c r="K368" t="s">
        <v>176</v>
      </c>
      <c r="L368">
        <f t="shared" si="5"/>
        <v>0.19348750511702695</v>
      </c>
    </row>
    <row r="369" spans="1:12" x14ac:dyDescent="0.2">
      <c r="A369">
        <v>395</v>
      </c>
      <c r="B369" t="s">
        <v>175</v>
      </c>
      <c r="C369" t="s">
        <v>15</v>
      </c>
      <c r="D369" s="1">
        <v>42461</v>
      </c>
      <c r="E369" s="2">
        <v>4250447000</v>
      </c>
      <c r="F369" s="2">
        <v>3575631000</v>
      </c>
      <c r="G369" s="2">
        <v>187244000</v>
      </c>
      <c r="H369" t="s">
        <v>12</v>
      </c>
      <c r="I369" s="2">
        <v>182242000</v>
      </c>
      <c r="J369" t="s">
        <v>22</v>
      </c>
      <c r="K369" t="s">
        <v>176</v>
      </c>
      <c r="L369">
        <f t="shared" si="5"/>
        <v>0.15876353710562674</v>
      </c>
    </row>
    <row r="370" spans="1:12" x14ac:dyDescent="0.2">
      <c r="A370">
        <v>396</v>
      </c>
      <c r="B370" t="s">
        <v>177</v>
      </c>
      <c r="C370" t="s">
        <v>11</v>
      </c>
      <c r="D370" s="1">
        <v>41639</v>
      </c>
      <c r="E370" s="2">
        <v>12026000000</v>
      </c>
      <c r="F370" s="2">
        <v>3931000000</v>
      </c>
      <c r="G370" s="2">
        <v>3518000000</v>
      </c>
      <c r="H370" t="s">
        <v>12</v>
      </c>
      <c r="I370" s="2">
        <v>1104000000</v>
      </c>
      <c r="J370" t="s">
        <v>13</v>
      </c>
      <c r="K370" t="s">
        <v>178</v>
      </c>
      <c r="L370">
        <f t="shared" si="5"/>
        <v>0.67312489605853987</v>
      </c>
    </row>
    <row r="371" spans="1:12" x14ac:dyDescent="0.2">
      <c r="A371">
        <v>397</v>
      </c>
      <c r="B371" t="s">
        <v>177</v>
      </c>
      <c r="C371" t="s">
        <v>15</v>
      </c>
      <c r="D371" s="1">
        <v>41999</v>
      </c>
      <c r="E371" s="2">
        <v>12669000000</v>
      </c>
      <c r="F371" s="2">
        <v>4100000000</v>
      </c>
      <c r="G371" s="2">
        <v>3805000000</v>
      </c>
      <c r="H371" t="s">
        <v>12</v>
      </c>
      <c r="I371" s="2">
        <v>1151000000</v>
      </c>
      <c r="J371" t="s">
        <v>13</v>
      </c>
      <c r="K371" t="s">
        <v>178</v>
      </c>
      <c r="L371">
        <f t="shared" si="5"/>
        <v>0.67637540453074441</v>
      </c>
    </row>
    <row r="372" spans="1:12" x14ac:dyDescent="0.2">
      <c r="A372">
        <v>398</v>
      </c>
      <c r="B372" t="s">
        <v>177</v>
      </c>
      <c r="C372" t="s">
        <v>16</v>
      </c>
      <c r="D372" s="1">
        <v>42363</v>
      </c>
      <c r="E372" s="2">
        <v>11811000000</v>
      </c>
      <c r="F372" s="2">
        <v>3293000000</v>
      </c>
      <c r="G372" s="2">
        <v>3726000000</v>
      </c>
      <c r="H372" t="s">
        <v>12</v>
      </c>
      <c r="I372" s="2">
        <v>1208000000</v>
      </c>
      <c r="J372" t="s">
        <v>13</v>
      </c>
      <c r="K372" t="s">
        <v>178</v>
      </c>
      <c r="L372">
        <f t="shared" si="5"/>
        <v>0.72119210905088482</v>
      </c>
    </row>
    <row r="373" spans="1:12" x14ac:dyDescent="0.2">
      <c r="A373">
        <v>399</v>
      </c>
      <c r="B373" t="s">
        <v>177</v>
      </c>
      <c r="C373" t="s">
        <v>17</v>
      </c>
      <c r="D373" s="1">
        <v>42734</v>
      </c>
      <c r="E373" s="2">
        <v>11069000000</v>
      </c>
      <c r="F373" s="2">
        <v>2782000000</v>
      </c>
      <c r="G373" s="2">
        <v>3597000000</v>
      </c>
      <c r="H373" t="s">
        <v>12</v>
      </c>
      <c r="I373" s="2">
        <v>1301000000</v>
      </c>
      <c r="J373" t="s">
        <v>13</v>
      </c>
      <c r="K373" t="s">
        <v>178</v>
      </c>
      <c r="L373">
        <f t="shared" si="5"/>
        <v>0.74866744963411325</v>
      </c>
    </row>
    <row r="374" spans="1:12" x14ac:dyDescent="0.2">
      <c r="A374">
        <v>400</v>
      </c>
      <c r="B374" t="s">
        <v>179</v>
      </c>
      <c r="C374" t="s">
        <v>11</v>
      </c>
      <c r="D374" s="1">
        <v>41425</v>
      </c>
      <c r="E374" s="2">
        <v>4245964000</v>
      </c>
      <c r="F374" s="2">
        <v>2492655000</v>
      </c>
      <c r="G374" s="2">
        <v>1187331000</v>
      </c>
      <c r="H374" t="s">
        <v>12</v>
      </c>
      <c r="I374" t="s">
        <v>12</v>
      </c>
      <c r="J374" t="s">
        <v>13</v>
      </c>
      <c r="K374" t="s">
        <v>180</v>
      </c>
      <c r="L374">
        <f t="shared" si="5"/>
        <v>0.41293543704091695</v>
      </c>
    </row>
    <row r="375" spans="1:12" x14ac:dyDescent="0.2">
      <c r="A375">
        <v>401</v>
      </c>
      <c r="B375" t="s">
        <v>179</v>
      </c>
      <c r="C375" t="s">
        <v>15</v>
      </c>
      <c r="D375" s="1">
        <v>41790</v>
      </c>
      <c r="E375" s="2">
        <v>4193844000</v>
      </c>
      <c r="F375" s="2">
        <v>2444085000</v>
      </c>
      <c r="G375" s="2">
        <v>1147039000</v>
      </c>
      <c r="H375" t="s">
        <v>12</v>
      </c>
      <c r="I375" t="s">
        <v>12</v>
      </c>
      <c r="J375" t="s">
        <v>13</v>
      </c>
      <c r="K375" t="s">
        <v>180</v>
      </c>
      <c r="L375">
        <f t="shared" si="5"/>
        <v>0.41722081221905249</v>
      </c>
    </row>
    <row r="376" spans="1:12" x14ac:dyDescent="0.2">
      <c r="A376">
        <v>402</v>
      </c>
      <c r="B376" t="s">
        <v>179</v>
      </c>
      <c r="C376" t="s">
        <v>16</v>
      </c>
      <c r="D376" s="1">
        <v>42155</v>
      </c>
      <c r="E376" s="2">
        <v>4476886000</v>
      </c>
      <c r="F376" s="2">
        <v>2555549000</v>
      </c>
      <c r="G376" s="2">
        <v>1224930000</v>
      </c>
      <c r="H376" t="s">
        <v>12</v>
      </c>
      <c r="I376" t="s">
        <v>12</v>
      </c>
      <c r="J376" t="s">
        <v>13</v>
      </c>
      <c r="K376" t="s">
        <v>180</v>
      </c>
      <c r="L376">
        <f t="shared" si="5"/>
        <v>0.42916817627252513</v>
      </c>
    </row>
    <row r="377" spans="1:12" x14ac:dyDescent="0.2">
      <c r="A377">
        <v>403</v>
      </c>
      <c r="B377" t="s">
        <v>179</v>
      </c>
      <c r="C377" t="s">
        <v>17</v>
      </c>
      <c r="D377" s="1">
        <v>42521</v>
      </c>
      <c r="E377" s="2">
        <v>4905458000</v>
      </c>
      <c r="F377" s="2">
        <v>2775588000</v>
      </c>
      <c r="G377" s="2">
        <v>1348122000</v>
      </c>
      <c r="H377" t="s">
        <v>12</v>
      </c>
      <c r="I377" t="s">
        <v>12</v>
      </c>
      <c r="J377" t="s">
        <v>13</v>
      </c>
      <c r="K377" t="s">
        <v>180</v>
      </c>
      <c r="L377">
        <f t="shared" si="5"/>
        <v>0.43418371944067202</v>
      </c>
    </row>
    <row r="378" spans="1:12" x14ac:dyDescent="0.2">
      <c r="A378">
        <v>404</v>
      </c>
      <c r="B378" t="s">
        <v>181</v>
      </c>
      <c r="C378" t="s">
        <v>11</v>
      </c>
      <c r="D378" s="1">
        <v>41274</v>
      </c>
      <c r="E378" s="2">
        <v>18376000000</v>
      </c>
      <c r="F378" s="2">
        <v>7639000000</v>
      </c>
      <c r="G378" s="2">
        <v>3244000000</v>
      </c>
      <c r="H378" t="s">
        <v>12</v>
      </c>
      <c r="I378" s="2">
        <v>4780000000</v>
      </c>
      <c r="J378" t="s">
        <v>182</v>
      </c>
      <c r="K378" t="s">
        <v>183</v>
      </c>
      <c r="L378">
        <f t="shared" si="5"/>
        <v>0.58429473225946893</v>
      </c>
    </row>
    <row r="379" spans="1:12" x14ac:dyDescent="0.2">
      <c r="A379">
        <v>405</v>
      </c>
      <c r="B379" t="s">
        <v>181</v>
      </c>
      <c r="C379" t="s">
        <v>15</v>
      </c>
      <c r="D379" s="1">
        <v>41639</v>
      </c>
      <c r="E379" s="2">
        <v>18095000000</v>
      </c>
      <c r="F379" s="2">
        <v>7507000000</v>
      </c>
      <c r="G379" s="2">
        <v>3502000000</v>
      </c>
      <c r="H379" t="s">
        <v>12</v>
      </c>
      <c r="I379" s="2">
        <v>4541000000</v>
      </c>
      <c r="J379" t="s">
        <v>182</v>
      </c>
      <c r="K379" t="s">
        <v>183</v>
      </c>
      <c r="L379">
        <f t="shared" si="5"/>
        <v>0.58513401492124895</v>
      </c>
    </row>
    <row r="380" spans="1:12" x14ac:dyDescent="0.2">
      <c r="A380">
        <v>406</v>
      </c>
      <c r="B380" t="s">
        <v>181</v>
      </c>
      <c r="C380" t="s">
        <v>16</v>
      </c>
      <c r="D380" s="1">
        <v>42004</v>
      </c>
      <c r="E380" s="2">
        <v>18031000000</v>
      </c>
      <c r="F380" s="2">
        <v>7846000000</v>
      </c>
      <c r="G380" s="2">
        <v>3347000000</v>
      </c>
      <c r="H380" t="s">
        <v>12</v>
      </c>
      <c r="I380" s="2">
        <v>4428000000</v>
      </c>
      <c r="J380" t="s">
        <v>182</v>
      </c>
      <c r="K380" t="s">
        <v>183</v>
      </c>
      <c r="L380">
        <f t="shared" si="5"/>
        <v>0.56486051799678338</v>
      </c>
    </row>
    <row r="381" spans="1:12" x14ac:dyDescent="0.2">
      <c r="A381">
        <v>407</v>
      </c>
      <c r="B381" t="s">
        <v>181</v>
      </c>
      <c r="C381" t="s">
        <v>17</v>
      </c>
      <c r="D381" s="1">
        <v>42369</v>
      </c>
      <c r="E381" s="2">
        <v>17900000000</v>
      </c>
      <c r="F381" s="2">
        <v>7778000000</v>
      </c>
      <c r="G381" s="2">
        <v>3328000000</v>
      </c>
      <c r="H381" t="s">
        <v>12</v>
      </c>
      <c r="I381" s="2">
        <v>4189000000</v>
      </c>
      <c r="J381" t="s">
        <v>182</v>
      </c>
      <c r="K381" t="s">
        <v>183</v>
      </c>
      <c r="L381">
        <f t="shared" si="5"/>
        <v>0.56547486033519556</v>
      </c>
    </row>
    <row r="382" spans="1:12" x14ac:dyDescent="0.2">
      <c r="A382">
        <v>408</v>
      </c>
      <c r="B382" t="s">
        <v>184</v>
      </c>
      <c r="C382" t="s">
        <v>11</v>
      </c>
      <c r="D382" s="1">
        <v>41274</v>
      </c>
      <c r="E382" s="2">
        <v>7346472000</v>
      </c>
      <c r="F382" s="2">
        <v>4278241000</v>
      </c>
      <c r="G382" s="2">
        <v>1557646000</v>
      </c>
      <c r="H382" t="s">
        <v>12</v>
      </c>
      <c r="I382" s="2">
        <v>149089000</v>
      </c>
      <c r="J382" t="s">
        <v>22</v>
      </c>
      <c r="K382" t="s">
        <v>176</v>
      </c>
      <c r="L382">
        <f t="shared" si="5"/>
        <v>0.4176468650530486</v>
      </c>
    </row>
    <row r="383" spans="1:12" x14ac:dyDescent="0.2">
      <c r="A383">
        <v>409</v>
      </c>
      <c r="B383" t="s">
        <v>184</v>
      </c>
      <c r="C383" t="s">
        <v>15</v>
      </c>
      <c r="D383" s="1">
        <v>41639</v>
      </c>
      <c r="E383" s="2">
        <v>8843200000</v>
      </c>
      <c r="F383" s="2">
        <v>5265500000</v>
      </c>
      <c r="G383" s="2">
        <v>1727600000</v>
      </c>
      <c r="H383" t="s">
        <v>12</v>
      </c>
      <c r="I383" s="2">
        <v>172200000</v>
      </c>
      <c r="J383" t="s">
        <v>22</v>
      </c>
      <c r="K383" t="s">
        <v>176</v>
      </c>
      <c r="L383">
        <f t="shared" si="5"/>
        <v>0.40457074362221823</v>
      </c>
    </row>
    <row r="384" spans="1:12" x14ac:dyDescent="0.2">
      <c r="A384">
        <v>410</v>
      </c>
      <c r="B384" t="s">
        <v>184</v>
      </c>
      <c r="C384" t="s">
        <v>16</v>
      </c>
      <c r="D384" s="1">
        <v>42004</v>
      </c>
      <c r="E384" s="2">
        <v>10262700000</v>
      </c>
      <c r="F384" s="2">
        <v>6141100000</v>
      </c>
      <c r="G384" s="2">
        <v>2037000000</v>
      </c>
      <c r="H384" t="s">
        <v>12</v>
      </c>
      <c r="I384" s="2">
        <v>199700000</v>
      </c>
      <c r="J384" t="s">
        <v>22</v>
      </c>
      <c r="K384" t="s">
        <v>176</v>
      </c>
      <c r="L384">
        <f t="shared" si="5"/>
        <v>0.4016097128435987</v>
      </c>
    </row>
    <row r="385" spans="1:12" x14ac:dyDescent="0.2">
      <c r="A385">
        <v>411</v>
      </c>
      <c r="B385" t="s">
        <v>184</v>
      </c>
      <c r="C385" t="s">
        <v>17</v>
      </c>
      <c r="D385" s="1">
        <v>42369</v>
      </c>
      <c r="E385" s="2">
        <v>12416000000</v>
      </c>
      <c r="F385" s="2">
        <v>7440200000</v>
      </c>
      <c r="G385" s="2">
        <v>2508600000</v>
      </c>
      <c r="H385" t="s">
        <v>12</v>
      </c>
      <c r="I385" s="2">
        <v>325200000</v>
      </c>
      <c r="J385" t="s">
        <v>22</v>
      </c>
      <c r="K385" t="s">
        <v>176</v>
      </c>
      <c r="L385">
        <f t="shared" si="5"/>
        <v>0.40075708762886597</v>
      </c>
    </row>
    <row r="386" spans="1:12" x14ac:dyDescent="0.2">
      <c r="A386">
        <v>412</v>
      </c>
      <c r="B386" t="s">
        <v>185</v>
      </c>
      <c r="C386" t="s">
        <v>11</v>
      </c>
      <c r="D386" s="1">
        <v>41639</v>
      </c>
      <c r="E386" s="2">
        <v>2918434000</v>
      </c>
      <c r="F386" s="2">
        <v>502795000</v>
      </c>
      <c r="G386" s="2">
        <v>1476916000</v>
      </c>
      <c r="H386" s="2">
        <v>516338000</v>
      </c>
      <c r="I386" s="2">
        <v>41668000</v>
      </c>
      <c r="J386" t="s">
        <v>22</v>
      </c>
      <c r="K386" t="s">
        <v>57</v>
      </c>
      <c r="L386">
        <f t="shared" si="5"/>
        <v>0.82771753618550226</v>
      </c>
    </row>
    <row r="387" spans="1:12" x14ac:dyDescent="0.2">
      <c r="A387">
        <v>413</v>
      </c>
      <c r="B387" t="s">
        <v>185</v>
      </c>
      <c r="C387" t="s">
        <v>15</v>
      </c>
      <c r="D387" s="1">
        <v>42004</v>
      </c>
      <c r="E387" s="2">
        <v>3142856000</v>
      </c>
      <c r="F387" s="2">
        <v>620219000</v>
      </c>
      <c r="G387" s="2">
        <v>1600187000</v>
      </c>
      <c r="H387" s="2">
        <v>553817000</v>
      </c>
      <c r="I387" s="2">
        <v>39577000</v>
      </c>
      <c r="J387" t="s">
        <v>22</v>
      </c>
      <c r="K387" t="s">
        <v>57</v>
      </c>
      <c r="L387">
        <f t="shared" ref="L387:L450" si="6">1-F387/E387</f>
        <v>0.80265751914818884</v>
      </c>
    </row>
    <row r="388" spans="1:12" x14ac:dyDescent="0.2">
      <c r="A388">
        <v>414</v>
      </c>
      <c r="B388" t="s">
        <v>185</v>
      </c>
      <c r="C388" t="s">
        <v>16</v>
      </c>
      <c r="D388" s="1">
        <v>42369</v>
      </c>
      <c r="E388" s="2">
        <v>3275594000</v>
      </c>
      <c r="F388" s="2">
        <v>614364000</v>
      </c>
      <c r="G388" s="2">
        <v>1538027000</v>
      </c>
      <c r="H388" s="2">
        <v>563975000</v>
      </c>
      <c r="I388" s="2">
        <v>41595000</v>
      </c>
      <c r="J388" t="s">
        <v>22</v>
      </c>
      <c r="K388" t="s">
        <v>57</v>
      </c>
      <c r="L388">
        <f t="shared" si="6"/>
        <v>0.81244195709236244</v>
      </c>
    </row>
    <row r="389" spans="1:12" x14ac:dyDescent="0.2">
      <c r="A389">
        <v>415</v>
      </c>
      <c r="B389" t="s">
        <v>185</v>
      </c>
      <c r="C389" t="s">
        <v>17</v>
      </c>
      <c r="D389" s="1">
        <v>42735</v>
      </c>
      <c r="E389" s="2">
        <v>3418265000</v>
      </c>
      <c r="F389" s="2">
        <v>559541000</v>
      </c>
      <c r="G389" s="2">
        <v>1620006000</v>
      </c>
      <c r="H389" s="2">
        <v>489265000</v>
      </c>
      <c r="I389" s="2">
        <v>29173000</v>
      </c>
      <c r="J389" t="s">
        <v>22</v>
      </c>
      <c r="K389" t="s">
        <v>57</v>
      </c>
      <c r="L389">
        <f t="shared" si="6"/>
        <v>0.83630847813144971</v>
      </c>
    </row>
    <row r="390" spans="1:12" x14ac:dyDescent="0.2">
      <c r="A390">
        <v>416</v>
      </c>
      <c r="B390" t="s">
        <v>186</v>
      </c>
      <c r="C390" t="s">
        <v>11</v>
      </c>
      <c r="D390" s="1">
        <v>41639</v>
      </c>
      <c r="E390" s="2">
        <v>126761000000</v>
      </c>
      <c r="F390" s="2">
        <v>102978000000</v>
      </c>
      <c r="G390" t="s">
        <v>12</v>
      </c>
      <c r="H390" t="s">
        <v>12</v>
      </c>
      <c r="I390" t="s">
        <v>12</v>
      </c>
      <c r="J390" t="s">
        <v>36</v>
      </c>
      <c r="K390" t="s">
        <v>187</v>
      </c>
      <c r="L390">
        <f t="shared" si="6"/>
        <v>0.18762079819502842</v>
      </c>
    </row>
    <row r="391" spans="1:12" x14ac:dyDescent="0.2">
      <c r="A391">
        <v>417</v>
      </c>
      <c r="B391" t="s">
        <v>186</v>
      </c>
      <c r="C391" t="s">
        <v>15</v>
      </c>
      <c r="D391" s="1">
        <v>42004</v>
      </c>
      <c r="E391" s="2">
        <v>139367000000</v>
      </c>
      <c r="F391" s="2">
        <v>114000000000</v>
      </c>
      <c r="G391" t="s">
        <v>12</v>
      </c>
      <c r="H391" t="s">
        <v>12</v>
      </c>
      <c r="I391" t="s">
        <v>12</v>
      </c>
      <c r="J391" t="s">
        <v>36</v>
      </c>
      <c r="K391" t="s">
        <v>187</v>
      </c>
      <c r="L391">
        <f t="shared" si="6"/>
        <v>0.18201582871124444</v>
      </c>
    </row>
    <row r="392" spans="1:12" x14ac:dyDescent="0.2">
      <c r="A392">
        <v>418</v>
      </c>
      <c r="B392" t="s">
        <v>186</v>
      </c>
      <c r="C392" t="s">
        <v>16</v>
      </c>
      <c r="D392" s="1">
        <v>42369</v>
      </c>
      <c r="E392" s="2">
        <v>153290000000</v>
      </c>
      <c r="F392" s="2">
        <v>126762000000</v>
      </c>
      <c r="G392" t="s">
        <v>12</v>
      </c>
      <c r="H392" t="s">
        <v>12</v>
      </c>
      <c r="I392" t="s">
        <v>12</v>
      </c>
      <c r="J392" t="s">
        <v>36</v>
      </c>
      <c r="K392" t="s">
        <v>187</v>
      </c>
      <c r="L392">
        <f t="shared" si="6"/>
        <v>0.17305760323569708</v>
      </c>
    </row>
    <row r="393" spans="1:12" x14ac:dyDescent="0.2">
      <c r="A393">
        <v>419</v>
      </c>
      <c r="B393" t="s">
        <v>186</v>
      </c>
      <c r="C393" t="s">
        <v>17</v>
      </c>
      <c r="D393" s="1">
        <v>42735</v>
      </c>
      <c r="E393" s="2">
        <v>177526000000</v>
      </c>
      <c r="F393" s="2">
        <v>148669000000</v>
      </c>
      <c r="G393" t="s">
        <v>12</v>
      </c>
      <c r="H393" t="s">
        <v>12</v>
      </c>
      <c r="I393" t="s">
        <v>12</v>
      </c>
      <c r="J393" t="s">
        <v>36</v>
      </c>
      <c r="K393" t="s">
        <v>187</v>
      </c>
      <c r="L393">
        <f t="shared" si="6"/>
        <v>0.16255083762378464</v>
      </c>
    </row>
    <row r="394" spans="1:12" x14ac:dyDescent="0.2">
      <c r="A394">
        <v>420</v>
      </c>
      <c r="B394" t="s">
        <v>188</v>
      </c>
      <c r="C394" t="s">
        <v>11</v>
      </c>
      <c r="D394" s="1">
        <v>41274</v>
      </c>
      <c r="E394" s="2">
        <v>230590000000</v>
      </c>
      <c r="F394" s="2">
        <v>163336000000</v>
      </c>
      <c r="G394" s="2">
        <v>17100000000</v>
      </c>
      <c r="H394" t="s">
        <v>12</v>
      </c>
      <c r="I394" s="2">
        <v>13413000000</v>
      </c>
      <c r="J394" t="s">
        <v>83</v>
      </c>
      <c r="K394" t="s">
        <v>144</v>
      </c>
      <c r="L394">
        <f t="shared" si="6"/>
        <v>0.29166052300620149</v>
      </c>
    </row>
    <row r="395" spans="1:12" x14ac:dyDescent="0.2">
      <c r="A395">
        <v>421</v>
      </c>
      <c r="B395" t="s">
        <v>188</v>
      </c>
      <c r="C395" t="s">
        <v>15</v>
      </c>
      <c r="D395" s="1">
        <v>41639</v>
      </c>
      <c r="E395" s="2">
        <v>220156000000</v>
      </c>
      <c r="F395" s="2">
        <v>159323000000</v>
      </c>
      <c r="G395" s="2">
        <v>17573000000</v>
      </c>
      <c r="H395" t="s">
        <v>12</v>
      </c>
      <c r="I395" s="2">
        <v>14186000000</v>
      </c>
      <c r="J395" t="s">
        <v>83</v>
      </c>
      <c r="K395" t="s">
        <v>144</v>
      </c>
      <c r="L395">
        <f t="shared" si="6"/>
        <v>0.2763177019931321</v>
      </c>
    </row>
    <row r="396" spans="1:12" x14ac:dyDescent="0.2">
      <c r="A396">
        <v>422</v>
      </c>
      <c r="B396" t="s">
        <v>188</v>
      </c>
      <c r="C396" t="s">
        <v>16</v>
      </c>
      <c r="D396" s="1">
        <v>42004</v>
      </c>
      <c r="E396" s="2">
        <v>200494000000</v>
      </c>
      <c r="F396" s="2">
        <v>144956000000</v>
      </c>
      <c r="G396" s="2">
        <v>17034000000</v>
      </c>
      <c r="H396" t="s">
        <v>12</v>
      </c>
      <c r="I396" s="2">
        <v>16793000000</v>
      </c>
      <c r="J396" t="s">
        <v>83</v>
      </c>
      <c r="K396" t="s">
        <v>144</v>
      </c>
      <c r="L396">
        <f t="shared" si="6"/>
        <v>0.27700579568465888</v>
      </c>
    </row>
    <row r="397" spans="1:12" x14ac:dyDescent="0.2">
      <c r="A397">
        <v>423</v>
      </c>
      <c r="B397" t="s">
        <v>188</v>
      </c>
      <c r="C397" t="s">
        <v>17</v>
      </c>
      <c r="D397" s="1">
        <v>42369</v>
      </c>
      <c r="E397" s="2">
        <v>129925000000</v>
      </c>
      <c r="F397" s="2">
        <v>92785000000</v>
      </c>
      <c r="G397" s="2">
        <v>16473000000</v>
      </c>
      <c r="H397" t="s">
        <v>12</v>
      </c>
      <c r="I397" s="2">
        <v>21037000000</v>
      </c>
      <c r="J397" t="s">
        <v>83</v>
      </c>
      <c r="K397" t="s">
        <v>144</v>
      </c>
      <c r="L397">
        <f t="shared" si="6"/>
        <v>0.28585722532230129</v>
      </c>
    </row>
    <row r="398" spans="1:12" x14ac:dyDescent="0.2">
      <c r="A398">
        <v>424</v>
      </c>
      <c r="B398" t="s">
        <v>189</v>
      </c>
      <c r="C398" t="s">
        <v>11</v>
      </c>
      <c r="D398" s="1">
        <v>41274</v>
      </c>
      <c r="E398" s="2">
        <v>1819814000</v>
      </c>
      <c r="F398" s="2">
        <v>343743000</v>
      </c>
      <c r="G398" s="2">
        <v>133796000</v>
      </c>
      <c r="H398" t="s">
        <v>12</v>
      </c>
      <c r="I398" s="2">
        <v>579315000</v>
      </c>
      <c r="J398" t="s">
        <v>83</v>
      </c>
      <c r="K398" t="s">
        <v>84</v>
      </c>
      <c r="L398">
        <f t="shared" si="6"/>
        <v>0.81111091573094829</v>
      </c>
    </row>
    <row r="399" spans="1:12" x14ac:dyDescent="0.2">
      <c r="A399">
        <v>425</v>
      </c>
      <c r="B399" t="s">
        <v>189</v>
      </c>
      <c r="C399" t="s">
        <v>15</v>
      </c>
      <c r="D399" s="1">
        <v>41639</v>
      </c>
      <c r="E399" s="2">
        <v>2319919000</v>
      </c>
      <c r="F399" s="2">
        <v>455436000</v>
      </c>
      <c r="G399" s="2">
        <v>169815000</v>
      </c>
      <c r="H399" t="s">
        <v>12</v>
      </c>
      <c r="I399" s="2">
        <v>778655000</v>
      </c>
      <c r="J399" t="s">
        <v>83</v>
      </c>
      <c r="K399" t="s">
        <v>84</v>
      </c>
      <c r="L399">
        <f t="shared" si="6"/>
        <v>0.80368452519247435</v>
      </c>
    </row>
    <row r="400" spans="1:12" x14ac:dyDescent="0.2">
      <c r="A400">
        <v>426</v>
      </c>
      <c r="B400" t="s">
        <v>189</v>
      </c>
      <c r="C400" t="s">
        <v>16</v>
      </c>
      <c r="D400" s="1">
        <v>42004</v>
      </c>
      <c r="E400" s="2">
        <v>2660147000</v>
      </c>
      <c r="F400" s="2">
        <v>538374000</v>
      </c>
      <c r="G400" s="2">
        <v>204161000</v>
      </c>
      <c r="H400" t="s">
        <v>12</v>
      </c>
      <c r="I400" s="2">
        <v>986812000</v>
      </c>
      <c r="J400" t="s">
        <v>83</v>
      </c>
      <c r="K400" t="s">
        <v>84</v>
      </c>
      <c r="L400">
        <f t="shared" si="6"/>
        <v>0.79761494383581055</v>
      </c>
    </row>
    <row r="401" spans="1:12" x14ac:dyDescent="0.2">
      <c r="A401">
        <v>427</v>
      </c>
      <c r="B401" t="s">
        <v>189</v>
      </c>
      <c r="C401" t="s">
        <v>17</v>
      </c>
      <c r="D401" s="1">
        <v>42369</v>
      </c>
      <c r="E401" s="2">
        <v>1803573000</v>
      </c>
      <c r="F401" s="2">
        <v>541359000</v>
      </c>
      <c r="G401" s="2">
        <v>230734000</v>
      </c>
      <c r="H401" t="s">
        <v>12</v>
      </c>
      <c r="I401" s="2">
        <v>1230853000</v>
      </c>
      <c r="J401" t="s">
        <v>83</v>
      </c>
      <c r="K401" t="s">
        <v>84</v>
      </c>
      <c r="L401">
        <f t="shared" si="6"/>
        <v>0.69984081598027914</v>
      </c>
    </row>
    <row r="402" spans="1:12" x14ac:dyDescent="0.2">
      <c r="A402">
        <v>428</v>
      </c>
      <c r="B402" t="s">
        <v>190</v>
      </c>
      <c r="C402" t="s">
        <v>11</v>
      </c>
      <c r="D402" s="1">
        <v>41274</v>
      </c>
      <c r="E402" s="2">
        <v>12835000000</v>
      </c>
      <c r="F402" s="2">
        <v>8300000000</v>
      </c>
      <c r="G402" s="2">
        <v>550000000</v>
      </c>
      <c r="H402" t="s">
        <v>12</v>
      </c>
      <c r="I402" s="2">
        <v>1127000000</v>
      </c>
      <c r="J402" t="s">
        <v>42</v>
      </c>
      <c r="K402" t="s">
        <v>45</v>
      </c>
      <c r="L402">
        <f t="shared" si="6"/>
        <v>0.35333073626801714</v>
      </c>
    </row>
    <row r="403" spans="1:12" x14ac:dyDescent="0.2">
      <c r="A403">
        <v>429</v>
      </c>
      <c r="B403" t="s">
        <v>190</v>
      </c>
      <c r="C403" t="s">
        <v>15</v>
      </c>
      <c r="D403" s="1">
        <v>41639</v>
      </c>
      <c r="E403" s="2">
        <v>13120000000</v>
      </c>
      <c r="F403" s="2">
        <v>8033000000</v>
      </c>
      <c r="G403" s="2">
        <v>563000000</v>
      </c>
      <c r="H403" t="s">
        <v>12</v>
      </c>
      <c r="I403" s="2">
        <v>1208000000</v>
      </c>
      <c r="J403" t="s">
        <v>42</v>
      </c>
      <c r="K403" t="s">
        <v>45</v>
      </c>
      <c r="L403">
        <f t="shared" si="6"/>
        <v>0.38772865853658534</v>
      </c>
    </row>
    <row r="404" spans="1:12" x14ac:dyDescent="0.2">
      <c r="A404">
        <v>430</v>
      </c>
      <c r="B404" t="s">
        <v>190</v>
      </c>
      <c r="C404" t="s">
        <v>16</v>
      </c>
      <c r="D404" s="1">
        <v>42004</v>
      </c>
      <c r="E404" s="2">
        <v>12436000000</v>
      </c>
      <c r="F404" s="2">
        <v>7881000000</v>
      </c>
      <c r="G404" s="2">
        <v>542000000</v>
      </c>
      <c r="H404" t="s">
        <v>12</v>
      </c>
      <c r="I404" s="2">
        <v>1292000000</v>
      </c>
      <c r="J404" t="s">
        <v>42</v>
      </c>
      <c r="K404" t="s">
        <v>45</v>
      </c>
      <c r="L404">
        <f t="shared" si="6"/>
        <v>0.36627532968800258</v>
      </c>
    </row>
    <row r="405" spans="1:12" x14ac:dyDescent="0.2">
      <c r="A405">
        <v>431</v>
      </c>
      <c r="B405" t="s">
        <v>190</v>
      </c>
      <c r="C405" t="s">
        <v>17</v>
      </c>
      <c r="D405" s="1">
        <v>42369</v>
      </c>
      <c r="E405" s="2">
        <v>11683000000</v>
      </c>
      <c r="F405" s="2">
        <v>6201000000</v>
      </c>
      <c r="G405" s="2">
        <v>551000000</v>
      </c>
      <c r="H405" t="s">
        <v>12</v>
      </c>
      <c r="I405" s="2">
        <v>1395000000</v>
      </c>
      <c r="J405" t="s">
        <v>42</v>
      </c>
      <c r="K405" t="s">
        <v>45</v>
      </c>
      <c r="L405">
        <f t="shared" si="6"/>
        <v>0.46922879397415052</v>
      </c>
    </row>
    <row r="406" spans="1:12" x14ac:dyDescent="0.2">
      <c r="A406">
        <v>432</v>
      </c>
      <c r="B406" t="s">
        <v>191</v>
      </c>
      <c r="C406" t="s">
        <v>11</v>
      </c>
      <c r="D406" s="1">
        <v>41639</v>
      </c>
      <c r="E406" s="2">
        <v>37773000000</v>
      </c>
      <c r="F406" s="2">
        <v>20964000000</v>
      </c>
      <c r="G406" s="2">
        <v>11349000000</v>
      </c>
      <c r="H406" t="s">
        <v>12</v>
      </c>
      <c r="I406" s="2">
        <v>1658000000</v>
      </c>
      <c r="J406" t="s">
        <v>13</v>
      </c>
      <c r="K406" t="s">
        <v>14</v>
      </c>
      <c r="L406">
        <f t="shared" si="6"/>
        <v>0.44500039710904615</v>
      </c>
    </row>
    <row r="407" spans="1:12" x14ac:dyDescent="0.2">
      <c r="A407">
        <v>433</v>
      </c>
      <c r="B407" t="s">
        <v>191</v>
      </c>
      <c r="C407" t="s">
        <v>15</v>
      </c>
      <c r="D407" s="1">
        <v>42004</v>
      </c>
      <c r="E407" s="2">
        <v>40362000000</v>
      </c>
      <c r="F407" s="2">
        <v>22967000000</v>
      </c>
      <c r="G407" s="2">
        <v>12702000000</v>
      </c>
      <c r="H407" t="s">
        <v>12</v>
      </c>
      <c r="I407" s="2">
        <v>1771000000</v>
      </c>
      <c r="J407" t="s">
        <v>13</v>
      </c>
      <c r="K407" t="s">
        <v>14</v>
      </c>
      <c r="L407">
        <f t="shared" si="6"/>
        <v>0.43097467915365939</v>
      </c>
    </row>
    <row r="408" spans="1:12" x14ac:dyDescent="0.2">
      <c r="A408">
        <v>434</v>
      </c>
      <c r="B408" t="s">
        <v>191</v>
      </c>
      <c r="C408" t="s">
        <v>16</v>
      </c>
      <c r="D408" s="1">
        <v>42369</v>
      </c>
      <c r="E408" s="2">
        <v>40704000000</v>
      </c>
      <c r="F408" s="2">
        <v>17096000000</v>
      </c>
      <c r="G408" s="2">
        <v>13936000000</v>
      </c>
      <c r="H408" t="s">
        <v>12</v>
      </c>
      <c r="I408" s="2">
        <v>1835000000</v>
      </c>
      <c r="J408" t="s">
        <v>13</v>
      </c>
      <c r="K408" t="s">
        <v>14</v>
      </c>
      <c r="L408">
        <f t="shared" si="6"/>
        <v>0.57999213836477992</v>
      </c>
    </row>
    <row r="409" spans="1:12" x14ac:dyDescent="0.2">
      <c r="A409">
        <v>435</v>
      </c>
      <c r="B409" t="s">
        <v>191</v>
      </c>
      <c r="C409" t="s">
        <v>17</v>
      </c>
      <c r="D409" s="1">
        <v>42735</v>
      </c>
      <c r="E409" s="2">
        <v>39639000000</v>
      </c>
      <c r="F409" s="2">
        <v>15940000000</v>
      </c>
      <c r="G409" s="2">
        <v>14845000000</v>
      </c>
      <c r="H409" t="s">
        <v>12</v>
      </c>
      <c r="I409" s="2">
        <v>1902000000</v>
      </c>
      <c r="J409" t="s">
        <v>13</v>
      </c>
      <c r="K409" t="s">
        <v>14</v>
      </c>
      <c r="L409">
        <f t="shared" si="6"/>
        <v>0.59787078382401171</v>
      </c>
    </row>
    <row r="410" spans="1:12" x14ac:dyDescent="0.2">
      <c r="A410">
        <v>436</v>
      </c>
      <c r="B410" t="s">
        <v>192</v>
      </c>
      <c r="C410" t="s">
        <v>11</v>
      </c>
      <c r="D410" s="1">
        <v>41639</v>
      </c>
      <c r="E410" s="2">
        <v>28998000000</v>
      </c>
      <c r="F410" s="2">
        <v>17642000000</v>
      </c>
      <c r="G410" s="2">
        <v>6564000000</v>
      </c>
      <c r="H410" s="2">
        <v>2037000000</v>
      </c>
      <c r="I410" t="s">
        <v>12</v>
      </c>
      <c r="J410" t="s">
        <v>59</v>
      </c>
      <c r="K410" t="s">
        <v>193</v>
      </c>
      <c r="L410">
        <f t="shared" si="6"/>
        <v>0.39161321470446242</v>
      </c>
    </row>
    <row r="411" spans="1:12" x14ac:dyDescent="0.2">
      <c r="A411">
        <v>437</v>
      </c>
      <c r="B411" t="s">
        <v>192</v>
      </c>
      <c r="C411" t="s">
        <v>15</v>
      </c>
      <c r="D411" s="1">
        <v>42004</v>
      </c>
      <c r="E411" s="2">
        <v>28406000000</v>
      </c>
      <c r="F411" s="2">
        <v>17023000000</v>
      </c>
      <c r="G411" s="2">
        <v>5536000000</v>
      </c>
      <c r="H411" s="2">
        <v>1958000000</v>
      </c>
      <c r="I411" t="s">
        <v>12</v>
      </c>
      <c r="J411" t="s">
        <v>59</v>
      </c>
      <c r="K411" t="s">
        <v>193</v>
      </c>
      <c r="L411">
        <f t="shared" si="6"/>
        <v>0.40072519890164049</v>
      </c>
    </row>
    <row r="412" spans="1:12" x14ac:dyDescent="0.2">
      <c r="A412">
        <v>438</v>
      </c>
      <c r="B412" t="s">
        <v>192</v>
      </c>
      <c r="C412" t="s">
        <v>16</v>
      </c>
      <c r="D412" s="1">
        <v>42369</v>
      </c>
      <c r="E412" s="2">
        <v>25130000000</v>
      </c>
      <c r="F412" s="2">
        <v>15112000000</v>
      </c>
      <c r="G412" s="2">
        <v>5074000000</v>
      </c>
      <c r="H412" s="2">
        <v>1898000000</v>
      </c>
      <c r="I412" t="s">
        <v>12</v>
      </c>
      <c r="J412" t="s">
        <v>59</v>
      </c>
      <c r="K412" t="s">
        <v>193</v>
      </c>
      <c r="L412">
        <f t="shared" si="6"/>
        <v>0.39864703541583768</v>
      </c>
    </row>
    <row r="413" spans="1:12" x14ac:dyDescent="0.2">
      <c r="A413">
        <v>439</v>
      </c>
      <c r="B413" t="s">
        <v>192</v>
      </c>
      <c r="C413" t="s">
        <v>17</v>
      </c>
      <c r="D413" s="1">
        <v>42735</v>
      </c>
      <c r="E413" s="2">
        <v>24594000000</v>
      </c>
      <c r="F413" s="2">
        <v>14469000000</v>
      </c>
      <c r="G413" s="2">
        <v>5005000000</v>
      </c>
      <c r="H413" s="2">
        <v>1641000000</v>
      </c>
      <c r="I413" t="s">
        <v>12</v>
      </c>
      <c r="J413" t="s">
        <v>59</v>
      </c>
      <c r="K413" t="s">
        <v>193</v>
      </c>
      <c r="L413">
        <f t="shared" si="6"/>
        <v>0.41168577701878506</v>
      </c>
    </row>
    <row r="414" spans="1:12" x14ac:dyDescent="0.2">
      <c r="A414">
        <v>440</v>
      </c>
      <c r="B414" t="s">
        <v>194</v>
      </c>
      <c r="C414" t="s">
        <v>11</v>
      </c>
      <c r="D414" s="1">
        <v>41578</v>
      </c>
      <c r="E414" s="2">
        <v>37795400000</v>
      </c>
      <c r="F414" s="2">
        <v>25667300000</v>
      </c>
      <c r="G414" s="2">
        <v>4426100000</v>
      </c>
      <c r="H414" s="2">
        <v>1477300000</v>
      </c>
      <c r="I414" t="s">
        <v>12</v>
      </c>
      <c r="J414" t="s">
        <v>13</v>
      </c>
      <c r="K414" t="s">
        <v>127</v>
      </c>
      <c r="L414">
        <f t="shared" si="6"/>
        <v>0.32088825624282324</v>
      </c>
    </row>
    <row r="415" spans="1:12" x14ac:dyDescent="0.2">
      <c r="A415">
        <v>441</v>
      </c>
      <c r="B415" t="s">
        <v>194</v>
      </c>
      <c r="C415" t="s">
        <v>15</v>
      </c>
      <c r="D415" s="1">
        <v>41943</v>
      </c>
      <c r="E415" s="2">
        <v>36066900000</v>
      </c>
      <c r="F415" s="2">
        <v>24775800000</v>
      </c>
      <c r="G415" s="2">
        <v>4377700000</v>
      </c>
      <c r="H415" s="2">
        <v>1452000000</v>
      </c>
      <c r="I415" t="s">
        <v>12</v>
      </c>
      <c r="J415" t="s">
        <v>13</v>
      </c>
      <c r="K415" t="s">
        <v>127</v>
      </c>
      <c r="L415">
        <f t="shared" si="6"/>
        <v>0.31305989702469572</v>
      </c>
    </row>
    <row r="416" spans="1:12" x14ac:dyDescent="0.2">
      <c r="A416">
        <v>442</v>
      </c>
      <c r="B416" t="s">
        <v>194</v>
      </c>
      <c r="C416" t="s">
        <v>16</v>
      </c>
      <c r="D416" s="1">
        <v>42308</v>
      </c>
      <c r="E416" s="2">
        <v>28862800000</v>
      </c>
      <c r="F416" s="2">
        <v>20143200000</v>
      </c>
      <c r="G416" s="2">
        <v>3834400000</v>
      </c>
      <c r="H416" s="2">
        <v>1425100000</v>
      </c>
      <c r="I416" t="s">
        <v>12</v>
      </c>
      <c r="J416" t="s">
        <v>13</v>
      </c>
      <c r="K416" t="s">
        <v>127</v>
      </c>
      <c r="L416">
        <f t="shared" si="6"/>
        <v>0.30210513186523835</v>
      </c>
    </row>
    <row r="417" spans="1:12" x14ac:dyDescent="0.2">
      <c r="A417">
        <v>443</v>
      </c>
      <c r="B417" t="s">
        <v>194</v>
      </c>
      <c r="C417" t="s">
        <v>17</v>
      </c>
      <c r="D417" s="1">
        <v>42674</v>
      </c>
      <c r="E417" s="2">
        <v>26644000000</v>
      </c>
      <c r="F417" s="2">
        <v>18248900000</v>
      </c>
      <c r="G417" s="2">
        <v>4018300000</v>
      </c>
      <c r="H417" s="2">
        <v>1389100000</v>
      </c>
      <c r="I417" t="s">
        <v>12</v>
      </c>
      <c r="J417" t="s">
        <v>13</v>
      </c>
      <c r="K417" t="s">
        <v>127</v>
      </c>
      <c r="L417">
        <f t="shared" si="6"/>
        <v>0.31508407146074158</v>
      </c>
    </row>
    <row r="418" spans="1:12" x14ac:dyDescent="0.2">
      <c r="A418">
        <v>444</v>
      </c>
      <c r="B418" t="s">
        <v>195</v>
      </c>
      <c r="C418" t="s">
        <v>11</v>
      </c>
      <c r="D418" s="1">
        <v>41243</v>
      </c>
      <c r="E418" s="2">
        <v>8984000000</v>
      </c>
      <c r="F418" s="2">
        <v>845000000</v>
      </c>
      <c r="G418" s="2">
        <v>3052000000</v>
      </c>
      <c r="H418" t="s">
        <v>12</v>
      </c>
      <c r="I418" s="2">
        <v>848000000</v>
      </c>
      <c r="J418" t="s">
        <v>47</v>
      </c>
      <c r="K418" t="s">
        <v>100</v>
      </c>
      <c r="L418">
        <f t="shared" si="6"/>
        <v>0.90594390026714156</v>
      </c>
    </row>
    <row r="419" spans="1:12" x14ac:dyDescent="0.2">
      <c r="A419">
        <v>445</v>
      </c>
      <c r="B419" t="s">
        <v>195</v>
      </c>
      <c r="C419" t="s">
        <v>15</v>
      </c>
      <c r="D419" s="1">
        <v>41639</v>
      </c>
      <c r="E419" s="2">
        <v>9370000000</v>
      </c>
      <c r="F419" s="2">
        <v>698000000</v>
      </c>
      <c r="G419" s="2">
        <v>3194000000</v>
      </c>
      <c r="H419" t="s">
        <v>12</v>
      </c>
      <c r="I419" s="2">
        <v>1086000000</v>
      </c>
      <c r="J419" t="s">
        <v>47</v>
      </c>
      <c r="K419" t="s">
        <v>100</v>
      </c>
      <c r="L419">
        <f t="shared" si="6"/>
        <v>0.92550693703308429</v>
      </c>
    </row>
    <row r="420" spans="1:12" x14ac:dyDescent="0.2">
      <c r="A420">
        <v>446</v>
      </c>
      <c r="B420" t="s">
        <v>195</v>
      </c>
      <c r="C420" t="s">
        <v>16</v>
      </c>
      <c r="D420" s="1">
        <v>42004</v>
      </c>
      <c r="E420" s="2">
        <v>9611000000</v>
      </c>
      <c r="F420" s="2">
        <v>614000000</v>
      </c>
      <c r="G420" s="2">
        <v>3340000000</v>
      </c>
      <c r="H420" t="s">
        <v>12</v>
      </c>
      <c r="I420" s="2">
        <v>1443000000</v>
      </c>
      <c r="J420" t="s">
        <v>47</v>
      </c>
      <c r="K420" t="s">
        <v>100</v>
      </c>
      <c r="L420">
        <f t="shared" si="6"/>
        <v>0.93611486837998126</v>
      </c>
    </row>
    <row r="421" spans="1:12" x14ac:dyDescent="0.2">
      <c r="A421">
        <v>447</v>
      </c>
      <c r="B421" t="s">
        <v>195</v>
      </c>
      <c r="C421" t="s">
        <v>17</v>
      </c>
      <c r="D421" s="1">
        <v>42369</v>
      </c>
      <c r="E421" s="2">
        <v>10002000000</v>
      </c>
      <c r="F421" s="2">
        <v>623000000</v>
      </c>
      <c r="G421" s="2">
        <v>3615000000</v>
      </c>
      <c r="H421" t="s">
        <v>12</v>
      </c>
      <c r="I421" s="2">
        <v>1512000000</v>
      </c>
      <c r="J421" t="s">
        <v>47</v>
      </c>
      <c r="K421" t="s">
        <v>100</v>
      </c>
      <c r="L421">
        <f t="shared" si="6"/>
        <v>0.9377124575084983</v>
      </c>
    </row>
    <row r="422" spans="1:12" x14ac:dyDescent="0.2">
      <c r="A422">
        <v>448</v>
      </c>
      <c r="B422" t="s">
        <v>196</v>
      </c>
      <c r="C422" t="s">
        <v>11</v>
      </c>
      <c r="D422" s="1">
        <v>41306</v>
      </c>
      <c r="E422" s="2">
        <v>16022128000</v>
      </c>
      <c r="F422" s="2">
        <v>10936727000</v>
      </c>
      <c r="G422" s="2">
        <v>3430125000</v>
      </c>
      <c r="H422" t="s">
        <v>12</v>
      </c>
      <c r="I422" t="s">
        <v>12</v>
      </c>
      <c r="J422" t="s">
        <v>19</v>
      </c>
      <c r="K422" t="s">
        <v>197</v>
      </c>
      <c r="L422">
        <f t="shared" si="6"/>
        <v>0.31739860023587374</v>
      </c>
    </row>
    <row r="423" spans="1:12" x14ac:dyDescent="0.2">
      <c r="A423">
        <v>449</v>
      </c>
      <c r="B423" t="s">
        <v>196</v>
      </c>
      <c r="C423" t="s">
        <v>15</v>
      </c>
      <c r="D423" s="1">
        <v>41670</v>
      </c>
      <c r="E423" s="2">
        <v>17504167000</v>
      </c>
      <c r="F423" s="2">
        <v>12068425000</v>
      </c>
      <c r="G423" s="2">
        <v>3699557000</v>
      </c>
      <c r="H423" t="s">
        <v>12</v>
      </c>
      <c r="I423" t="s">
        <v>12</v>
      </c>
      <c r="J423" t="s">
        <v>19</v>
      </c>
      <c r="K423" t="s">
        <v>197</v>
      </c>
      <c r="L423">
        <f t="shared" si="6"/>
        <v>0.31053988458862392</v>
      </c>
    </row>
    <row r="424" spans="1:12" x14ac:dyDescent="0.2">
      <c r="A424">
        <v>450</v>
      </c>
      <c r="B424" t="s">
        <v>196</v>
      </c>
      <c r="C424" t="s">
        <v>16</v>
      </c>
      <c r="D424" s="1">
        <v>42034</v>
      </c>
      <c r="E424" s="2">
        <v>18909588000</v>
      </c>
      <c r="F424" s="2">
        <v>13107081000</v>
      </c>
      <c r="G424" s="2">
        <v>4033414000</v>
      </c>
      <c r="H424" t="s">
        <v>12</v>
      </c>
      <c r="I424" t="s">
        <v>12</v>
      </c>
      <c r="J424" t="s">
        <v>19</v>
      </c>
      <c r="K424" t="s">
        <v>197</v>
      </c>
      <c r="L424">
        <f t="shared" si="6"/>
        <v>0.30685528420820163</v>
      </c>
    </row>
    <row r="425" spans="1:12" x14ac:dyDescent="0.2">
      <c r="A425">
        <v>451</v>
      </c>
      <c r="B425" t="s">
        <v>196</v>
      </c>
      <c r="C425" t="s">
        <v>17</v>
      </c>
      <c r="D425" s="1">
        <v>42398</v>
      </c>
      <c r="E425" s="2">
        <v>20368562000</v>
      </c>
      <c r="F425" s="2">
        <v>14062471000</v>
      </c>
      <c r="G425" s="2">
        <v>4365797000</v>
      </c>
      <c r="H425" t="s">
        <v>12</v>
      </c>
      <c r="I425" t="s">
        <v>12</v>
      </c>
      <c r="J425" t="s">
        <v>19</v>
      </c>
      <c r="K425" t="s">
        <v>197</v>
      </c>
      <c r="L425">
        <f t="shared" si="6"/>
        <v>0.30959922453043076</v>
      </c>
    </row>
    <row r="426" spans="1:12" x14ac:dyDescent="0.2">
      <c r="A426">
        <v>452</v>
      </c>
      <c r="B426" t="s">
        <v>198</v>
      </c>
      <c r="C426" t="s">
        <v>11</v>
      </c>
      <c r="D426" s="1">
        <v>41274</v>
      </c>
      <c r="E426" s="2">
        <v>7383000000</v>
      </c>
      <c r="F426" s="2">
        <v>4365000000</v>
      </c>
      <c r="G426" s="2">
        <v>1742000000</v>
      </c>
      <c r="H426" t="s">
        <v>12</v>
      </c>
      <c r="I426" s="2">
        <v>75000000</v>
      </c>
      <c r="J426" t="s">
        <v>25</v>
      </c>
      <c r="K426" t="s">
        <v>199</v>
      </c>
      <c r="L426">
        <f t="shared" si="6"/>
        <v>0.40877691995123933</v>
      </c>
    </row>
    <row r="427" spans="1:12" x14ac:dyDescent="0.2">
      <c r="A427">
        <v>453</v>
      </c>
      <c r="B427" t="s">
        <v>198</v>
      </c>
      <c r="C427" t="s">
        <v>15</v>
      </c>
      <c r="D427" s="1">
        <v>41639</v>
      </c>
      <c r="E427" s="2">
        <v>7146000000</v>
      </c>
      <c r="F427" s="2">
        <v>4326000000</v>
      </c>
      <c r="G427" s="2">
        <v>1740000000</v>
      </c>
      <c r="H427" t="s">
        <v>12</v>
      </c>
      <c r="I427" s="2">
        <v>79000000</v>
      </c>
      <c r="J427" t="s">
        <v>25</v>
      </c>
      <c r="K427" t="s">
        <v>199</v>
      </c>
      <c r="L427">
        <f t="shared" si="6"/>
        <v>0.39462636439966414</v>
      </c>
    </row>
    <row r="428" spans="1:12" x14ac:dyDescent="0.2">
      <c r="A428">
        <v>454</v>
      </c>
      <c r="B428" t="s">
        <v>198</v>
      </c>
      <c r="C428" t="s">
        <v>16</v>
      </c>
      <c r="D428" s="1">
        <v>42004</v>
      </c>
      <c r="E428" s="2">
        <v>7435000000</v>
      </c>
      <c r="F428" s="2">
        <v>4637000000</v>
      </c>
      <c r="G428" s="2">
        <v>1721000000</v>
      </c>
      <c r="H428" t="s">
        <v>12</v>
      </c>
      <c r="I428" s="2">
        <v>94000000</v>
      </c>
      <c r="J428" t="s">
        <v>25</v>
      </c>
      <c r="K428" t="s">
        <v>199</v>
      </c>
      <c r="L428">
        <f t="shared" si="6"/>
        <v>0.37632817753866843</v>
      </c>
    </row>
    <row r="429" spans="1:12" x14ac:dyDescent="0.2">
      <c r="A429">
        <v>455</v>
      </c>
      <c r="B429" t="s">
        <v>198</v>
      </c>
      <c r="C429" t="s">
        <v>17</v>
      </c>
      <c r="D429" s="1">
        <v>42369</v>
      </c>
      <c r="E429" s="2">
        <v>7493000000</v>
      </c>
      <c r="F429" s="2">
        <v>4657000000</v>
      </c>
      <c r="G429" s="2">
        <v>1356000000</v>
      </c>
      <c r="H429" t="s">
        <v>12</v>
      </c>
      <c r="I429" s="2">
        <v>81000000</v>
      </c>
      <c r="J429" t="s">
        <v>25</v>
      </c>
      <c r="K429" t="s">
        <v>199</v>
      </c>
      <c r="L429">
        <f t="shared" si="6"/>
        <v>0.37848658748164954</v>
      </c>
    </row>
    <row r="430" spans="1:12" x14ac:dyDescent="0.2">
      <c r="A430">
        <v>456</v>
      </c>
      <c r="B430" t="s">
        <v>200</v>
      </c>
      <c r="C430" t="s">
        <v>11</v>
      </c>
      <c r="D430" s="1">
        <v>41547</v>
      </c>
      <c r="E430" s="2">
        <v>6259300000</v>
      </c>
      <c r="F430" s="2">
        <v>4853500000</v>
      </c>
      <c r="G430" s="2">
        <v>649900000</v>
      </c>
      <c r="H430" t="s">
        <v>12</v>
      </c>
      <c r="I430" t="s">
        <v>12</v>
      </c>
      <c r="J430" t="s">
        <v>19</v>
      </c>
      <c r="K430" t="s">
        <v>201</v>
      </c>
      <c r="L430">
        <f t="shared" si="6"/>
        <v>0.22459380441902455</v>
      </c>
    </row>
    <row r="431" spans="1:12" x14ac:dyDescent="0.2">
      <c r="A431">
        <v>457</v>
      </c>
      <c r="B431" t="s">
        <v>200</v>
      </c>
      <c r="C431" t="s">
        <v>15</v>
      </c>
      <c r="D431" s="1">
        <v>41912</v>
      </c>
      <c r="E431" s="2">
        <v>8024900000</v>
      </c>
      <c r="F431" s="2">
        <v>6268600000</v>
      </c>
      <c r="G431" s="2">
        <v>826900000</v>
      </c>
      <c r="H431" t="s">
        <v>12</v>
      </c>
      <c r="I431" t="s">
        <v>12</v>
      </c>
      <c r="J431" t="s">
        <v>19</v>
      </c>
      <c r="K431" t="s">
        <v>201</v>
      </c>
      <c r="L431">
        <f t="shared" si="6"/>
        <v>0.21885630973594683</v>
      </c>
    </row>
    <row r="432" spans="1:12" x14ac:dyDescent="0.2">
      <c r="A432">
        <v>458</v>
      </c>
      <c r="B432" t="s">
        <v>200</v>
      </c>
      <c r="C432" t="s">
        <v>16</v>
      </c>
      <c r="D432" s="1">
        <v>42277</v>
      </c>
      <c r="E432" s="2">
        <v>10824000000</v>
      </c>
      <c r="F432" s="2">
        <v>8535700000</v>
      </c>
      <c r="G432" s="2">
        <v>1003000000</v>
      </c>
      <c r="H432" t="s">
        <v>12</v>
      </c>
      <c r="I432" t="s">
        <v>12</v>
      </c>
      <c r="J432" t="s">
        <v>19</v>
      </c>
      <c r="K432" t="s">
        <v>201</v>
      </c>
      <c r="L432">
        <f t="shared" si="6"/>
        <v>0.211409830007391</v>
      </c>
    </row>
    <row r="433" spans="1:12" x14ac:dyDescent="0.2">
      <c r="A433">
        <v>459</v>
      </c>
      <c r="B433" t="s">
        <v>200</v>
      </c>
      <c r="C433" t="s">
        <v>17</v>
      </c>
      <c r="D433" s="1">
        <v>42643</v>
      </c>
      <c r="E433" s="2">
        <v>12157400000</v>
      </c>
      <c r="F433" s="2">
        <v>9502600000</v>
      </c>
      <c r="G433" s="2">
        <v>1100300000</v>
      </c>
      <c r="H433" t="s">
        <v>12</v>
      </c>
      <c r="I433" t="s">
        <v>12</v>
      </c>
      <c r="J433" t="s">
        <v>19</v>
      </c>
      <c r="K433" t="s">
        <v>201</v>
      </c>
      <c r="L433">
        <f t="shared" si="6"/>
        <v>0.21836905917383653</v>
      </c>
    </row>
    <row r="434" spans="1:12" x14ac:dyDescent="0.2">
      <c r="A434">
        <v>460</v>
      </c>
      <c r="B434" t="s">
        <v>202</v>
      </c>
      <c r="C434" t="s">
        <v>11</v>
      </c>
      <c r="D434" s="1">
        <v>41274</v>
      </c>
      <c r="E434" s="2">
        <v>18260400000</v>
      </c>
      <c r="F434" s="2">
        <v>8846100000</v>
      </c>
      <c r="G434" s="2">
        <v>5181200000</v>
      </c>
      <c r="H434" s="2">
        <v>1137900000</v>
      </c>
      <c r="I434" t="s">
        <v>12</v>
      </c>
      <c r="J434" t="s">
        <v>13</v>
      </c>
      <c r="K434" t="s">
        <v>164</v>
      </c>
      <c r="L434">
        <f t="shared" si="6"/>
        <v>0.51555825721232829</v>
      </c>
    </row>
    <row r="435" spans="1:12" x14ac:dyDescent="0.2">
      <c r="A435">
        <v>461</v>
      </c>
      <c r="B435" t="s">
        <v>202</v>
      </c>
      <c r="C435" t="s">
        <v>15</v>
      </c>
      <c r="D435" s="1">
        <v>41639</v>
      </c>
      <c r="E435" s="2">
        <v>18283100000</v>
      </c>
      <c r="F435" s="2">
        <v>8941100000</v>
      </c>
      <c r="G435" s="2">
        <v>5117100000</v>
      </c>
      <c r="H435" s="2">
        <v>1104400000</v>
      </c>
      <c r="I435" t="s">
        <v>12</v>
      </c>
      <c r="J435" t="s">
        <v>13</v>
      </c>
      <c r="K435" t="s">
        <v>164</v>
      </c>
      <c r="L435">
        <f t="shared" si="6"/>
        <v>0.5109636768381729</v>
      </c>
    </row>
    <row r="436" spans="1:12" x14ac:dyDescent="0.2">
      <c r="A436">
        <v>462</v>
      </c>
      <c r="B436" t="s">
        <v>202</v>
      </c>
      <c r="C436" t="s">
        <v>16</v>
      </c>
      <c r="D436" s="1">
        <v>42004</v>
      </c>
      <c r="E436" s="2">
        <v>19154000000</v>
      </c>
      <c r="F436" s="2">
        <v>9261400000</v>
      </c>
      <c r="G436" s="2">
        <v>5389000000</v>
      </c>
      <c r="H436" s="2">
        <v>1157000000</v>
      </c>
      <c r="I436" t="s">
        <v>12</v>
      </c>
      <c r="J436" t="s">
        <v>13</v>
      </c>
      <c r="K436" t="s">
        <v>164</v>
      </c>
      <c r="L436">
        <f t="shared" si="6"/>
        <v>0.51647697608854548</v>
      </c>
    </row>
    <row r="437" spans="1:12" x14ac:dyDescent="0.2">
      <c r="A437">
        <v>463</v>
      </c>
      <c r="B437" t="s">
        <v>202</v>
      </c>
      <c r="C437" t="s">
        <v>17</v>
      </c>
      <c r="D437" s="1">
        <v>42369</v>
      </c>
      <c r="E437" s="2">
        <v>20563100000</v>
      </c>
      <c r="F437" s="2">
        <v>9800600000</v>
      </c>
      <c r="G437" s="2">
        <v>6054300000</v>
      </c>
      <c r="H437" s="2">
        <v>1239100000</v>
      </c>
      <c r="I437" t="s">
        <v>12</v>
      </c>
      <c r="J437" t="s">
        <v>13</v>
      </c>
      <c r="K437" t="s">
        <v>164</v>
      </c>
      <c r="L437">
        <f t="shared" si="6"/>
        <v>0.52338898317860627</v>
      </c>
    </row>
    <row r="438" spans="1:12" x14ac:dyDescent="0.2">
      <c r="A438">
        <v>464</v>
      </c>
      <c r="B438" t="s">
        <v>203</v>
      </c>
      <c r="C438" t="s">
        <v>11</v>
      </c>
      <c r="D438" s="1">
        <v>41545</v>
      </c>
      <c r="E438" s="2">
        <v>45041000000</v>
      </c>
      <c r="F438" s="2">
        <v>25034000000</v>
      </c>
      <c r="G438" s="2">
        <v>8365000000</v>
      </c>
      <c r="H438" t="s">
        <v>12</v>
      </c>
      <c r="I438" s="2">
        <v>2192000000</v>
      </c>
      <c r="J438" t="s">
        <v>19</v>
      </c>
      <c r="K438" t="s">
        <v>204</v>
      </c>
      <c r="L438">
        <f t="shared" si="6"/>
        <v>0.4441952887369286</v>
      </c>
    </row>
    <row r="439" spans="1:12" x14ac:dyDescent="0.2">
      <c r="A439">
        <v>465</v>
      </c>
      <c r="B439" t="s">
        <v>203</v>
      </c>
      <c r="C439" t="s">
        <v>15</v>
      </c>
      <c r="D439" s="1">
        <v>41909</v>
      </c>
      <c r="E439" s="2">
        <v>48813000000</v>
      </c>
      <c r="F439" s="2">
        <v>26420000000</v>
      </c>
      <c r="G439" s="2">
        <v>8565000000</v>
      </c>
      <c r="H439" t="s">
        <v>12</v>
      </c>
      <c r="I439" s="2">
        <v>2288000000</v>
      </c>
      <c r="J439" t="s">
        <v>19</v>
      </c>
      <c r="K439" t="s">
        <v>204</v>
      </c>
      <c r="L439">
        <f t="shared" si="6"/>
        <v>0.45875074263003712</v>
      </c>
    </row>
    <row r="440" spans="1:12" x14ac:dyDescent="0.2">
      <c r="A440">
        <v>466</v>
      </c>
      <c r="B440" t="s">
        <v>203</v>
      </c>
      <c r="C440" t="s">
        <v>16</v>
      </c>
      <c r="D440" s="1">
        <v>42280</v>
      </c>
      <c r="E440" s="2">
        <v>52465000000</v>
      </c>
      <c r="F440" s="2">
        <v>28364000000</v>
      </c>
      <c r="G440" s="2">
        <v>8523000000</v>
      </c>
      <c r="H440" t="s">
        <v>12</v>
      </c>
      <c r="I440" s="2">
        <v>2354000000</v>
      </c>
      <c r="J440" t="s">
        <v>19</v>
      </c>
      <c r="K440" t="s">
        <v>204</v>
      </c>
      <c r="L440">
        <f t="shared" si="6"/>
        <v>0.4593729152768512</v>
      </c>
    </row>
    <row r="441" spans="1:12" x14ac:dyDescent="0.2">
      <c r="A441">
        <v>467</v>
      </c>
      <c r="B441" t="s">
        <v>203</v>
      </c>
      <c r="C441" t="s">
        <v>17</v>
      </c>
      <c r="D441" s="1">
        <v>42644</v>
      </c>
      <c r="E441" s="2">
        <v>55632000000</v>
      </c>
      <c r="F441" s="2">
        <v>29993000000</v>
      </c>
      <c r="G441" s="2">
        <v>8754000000</v>
      </c>
      <c r="H441" t="s">
        <v>12</v>
      </c>
      <c r="I441" s="2">
        <v>2527000000</v>
      </c>
      <c r="J441" t="s">
        <v>19</v>
      </c>
      <c r="K441" t="s">
        <v>204</v>
      </c>
      <c r="L441">
        <f t="shared" si="6"/>
        <v>0.46086784584411844</v>
      </c>
    </row>
    <row r="442" spans="1:12" x14ac:dyDescent="0.2">
      <c r="A442">
        <v>468</v>
      </c>
      <c r="B442" t="s">
        <v>205</v>
      </c>
      <c r="C442" t="s">
        <v>11</v>
      </c>
      <c r="D442" s="1">
        <v>41639</v>
      </c>
      <c r="E442" s="2">
        <v>5535000000</v>
      </c>
      <c r="F442" s="2">
        <v>1689000000</v>
      </c>
      <c r="G442" s="2">
        <v>1598000000</v>
      </c>
      <c r="H442" t="s">
        <v>12</v>
      </c>
      <c r="I442" s="2">
        <v>276000000</v>
      </c>
      <c r="J442" t="s">
        <v>19</v>
      </c>
      <c r="K442" t="s">
        <v>148</v>
      </c>
      <c r="L442">
        <f t="shared" si="6"/>
        <v>0.69485094850948514</v>
      </c>
    </row>
    <row r="443" spans="1:12" x14ac:dyDescent="0.2">
      <c r="A443">
        <v>469</v>
      </c>
      <c r="B443" t="s">
        <v>205</v>
      </c>
      <c r="C443" t="s">
        <v>15</v>
      </c>
      <c r="D443" s="1">
        <v>42004</v>
      </c>
      <c r="E443" s="2">
        <v>6265000000</v>
      </c>
      <c r="F443" s="2">
        <v>2124000000</v>
      </c>
      <c r="G443" s="2">
        <v>1692000000</v>
      </c>
      <c r="H443" t="s">
        <v>12</v>
      </c>
      <c r="I443" s="2">
        <v>329000000</v>
      </c>
      <c r="J443" t="s">
        <v>19</v>
      </c>
      <c r="K443" t="s">
        <v>148</v>
      </c>
      <c r="L443">
        <f t="shared" si="6"/>
        <v>0.66097366320830009</v>
      </c>
    </row>
    <row r="444" spans="1:12" x14ac:dyDescent="0.2">
      <c r="A444">
        <v>470</v>
      </c>
      <c r="B444" t="s">
        <v>205</v>
      </c>
      <c r="C444" t="s">
        <v>16</v>
      </c>
      <c r="D444" s="1">
        <v>42369</v>
      </c>
      <c r="E444" s="2">
        <v>6394000000</v>
      </c>
      <c r="F444" s="2">
        <v>2343000000</v>
      </c>
      <c r="G444" s="2">
        <v>1669000000</v>
      </c>
      <c r="H444" t="s">
        <v>12</v>
      </c>
      <c r="I444" s="2">
        <v>330000000</v>
      </c>
      <c r="J444" t="s">
        <v>19</v>
      </c>
      <c r="K444" t="s">
        <v>148</v>
      </c>
      <c r="L444">
        <f t="shared" si="6"/>
        <v>0.633562715045355</v>
      </c>
    </row>
    <row r="445" spans="1:12" x14ac:dyDescent="0.2">
      <c r="A445">
        <v>471</v>
      </c>
      <c r="B445" t="s">
        <v>205</v>
      </c>
      <c r="C445" t="s">
        <v>17</v>
      </c>
      <c r="D445" s="1">
        <v>42735</v>
      </c>
      <c r="E445" s="2">
        <v>6497000000</v>
      </c>
      <c r="F445" s="2">
        <v>2432000000</v>
      </c>
      <c r="G445" s="2">
        <v>1690000000</v>
      </c>
      <c r="H445" t="s">
        <v>12</v>
      </c>
      <c r="I445" s="2">
        <v>322000000</v>
      </c>
      <c r="J445" t="s">
        <v>19</v>
      </c>
      <c r="K445" t="s">
        <v>148</v>
      </c>
      <c r="L445">
        <f t="shared" si="6"/>
        <v>0.6256733877174081</v>
      </c>
    </row>
    <row r="446" spans="1:12" x14ac:dyDescent="0.2">
      <c r="A446">
        <v>472</v>
      </c>
      <c r="B446" t="s">
        <v>206</v>
      </c>
      <c r="C446" t="s">
        <v>11</v>
      </c>
      <c r="D446" s="1">
        <v>41639</v>
      </c>
      <c r="E446" s="2">
        <v>5535000000</v>
      </c>
      <c r="F446" s="2">
        <v>1689000000</v>
      </c>
      <c r="G446" s="2">
        <v>1598000000</v>
      </c>
      <c r="H446" t="s">
        <v>12</v>
      </c>
      <c r="I446" s="2">
        <v>276000000</v>
      </c>
      <c r="J446" t="s">
        <v>19</v>
      </c>
      <c r="K446" t="s">
        <v>148</v>
      </c>
      <c r="L446">
        <f t="shared" si="6"/>
        <v>0.69485094850948514</v>
      </c>
    </row>
    <row r="447" spans="1:12" x14ac:dyDescent="0.2">
      <c r="A447">
        <v>473</v>
      </c>
      <c r="B447" t="s">
        <v>206</v>
      </c>
      <c r="C447" t="s">
        <v>15</v>
      </c>
      <c r="D447" s="1">
        <v>42004</v>
      </c>
      <c r="E447" s="2">
        <v>6265000000</v>
      </c>
      <c r="F447" s="2">
        <v>2124000000</v>
      </c>
      <c r="G447" s="2">
        <v>1692000000</v>
      </c>
      <c r="H447" t="s">
        <v>12</v>
      </c>
      <c r="I447" s="2">
        <v>329000000</v>
      </c>
      <c r="J447" t="s">
        <v>19</v>
      </c>
      <c r="K447" t="s">
        <v>148</v>
      </c>
      <c r="L447">
        <f t="shared" si="6"/>
        <v>0.66097366320830009</v>
      </c>
    </row>
    <row r="448" spans="1:12" x14ac:dyDescent="0.2">
      <c r="A448">
        <v>474</v>
      </c>
      <c r="B448" t="s">
        <v>206</v>
      </c>
      <c r="C448" t="s">
        <v>16</v>
      </c>
      <c r="D448" s="1">
        <v>42369</v>
      </c>
      <c r="E448" s="2">
        <v>6394000000</v>
      </c>
      <c r="F448" s="2">
        <v>2343000000</v>
      </c>
      <c r="G448" s="2">
        <v>1669000000</v>
      </c>
      <c r="H448" t="s">
        <v>12</v>
      </c>
      <c r="I448" s="2">
        <v>330000000</v>
      </c>
      <c r="J448" t="s">
        <v>19</v>
      </c>
      <c r="K448" t="s">
        <v>148</v>
      </c>
      <c r="L448">
        <f t="shared" si="6"/>
        <v>0.633562715045355</v>
      </c>
    </row>
    <row r="449" spans="1:12" x14ac:dyDescent="0.2">
      <c r="A449">
        <v>475</v>
      </c>
      <c r="B449" t="s">
        <v>206</v>
      </c>
      <c r="C449" t="s">
        <v>17</v>
      </c>
      <c r="D449" s="1">
        <v>42735</v>
      </c>
      <c r="E449" s="2">
        <v>6497000000</v>
      </c>
      <c r="F449" s="2">
        <v>2432000000</v>
      </c>
      <c r="G449" s="2">
        <v>1690000000</v>
      </c>
      <c r="H449" t="s">
        <v>12</v>
      </c>
      <c r="I449" s="2">
        <v>322000000</v>
      </c>
      <c r="J449" t="s">
        <v>19</v>
      </c>
      <c r="K449" t="s">
        <v>148</v>
      </c>
      <c r="L449">
        <f t="shared" si="6"/>
        <v>0.6256733877174081</v>
      </c>
    </row>
    <row r="450" spans="1:12" x14ac:dyDescent="0.2">
      <c r="A450">
        <v>476</v>
      </c>
      <c r="B450" t="s">
        <v>207</v>
      </c>
      <c r="C450" t="s">
        <v>11</v>
      </c>
      <c r="D450" s="1">
        <v>41639</v>
      </c>
      <c r="E450" s="2">
        <v>15051000000</v>
      </c>
      <c r="F450" s="2">
        <v>12274000000</v>
      </c>
      <c r="G450" s="2">
        <v>916000000</v>
      </c>
      <c r="H450" t="s">
        <v>12</v>
      </c>
      <c r="I450" s="2">
        <v>97000000</v>
      </c>
      <c r="J450" t="s">
        <v>19</v>
      </c>
      <c r="K450" t="s">
        <v>121</v>
      </c>
      <c r="L450">
        <f t="shared" si="6"/>
        <v>0.18450601288950896</v>
      </c>
    </row>
    <row r="451" spans="1:12" x14ac:dyDescent="0.2">
      <c r="A451">
        <v>477</v>
      </c>
      <c r="B451" t="s">
        <v>207</v>
      </c>
      <c r="C451" t="s">
        <v>15</v>
      </c>
      <c r="D451" s="1">
        <v>42004</v>
      </c>
      <c r="E451" s="2">
        <v>15499000000</v>
      </c>
      <c r="F451" s="2">
        <v>12471000000</v>
      </c>
      <c r="G451" s="2">
        <v>1036000000</v>
      </c>
      <c r="H451" t="s">
        <v>12</v>
      </c>
      <c r="I451" s="2">
        <v>94000000</v>
      </c>
      <c r="J451" t="s">
        <v>19</v>
      </c>
      <c r="K451" t="s">
        <v>121</v>
      </c>
      <c r="L451">
        <f t="shared" ref="L451:L514" si="7">1-F451/E451</f>
        <v>0.19536744306084264</v>
      </c>
    </row>
    <row r="452" spans="1:12" x14ac:dyDescent="0.2">
      <c r="A452">
        <v>478</v>
      </c>
      <c r="B452" t="s">
        <v>207</v>
      </c>
      <c r="C452" t="s">
        <v>16</v>
      </c>
      <c r="D452" s="1">
        <v>42369</v>
      </c>
      <c r="E452" s="2">
        <v>15165000000</v>
      </c>
      <c r="F452" s="2">
        <v>12155000000</v>
      </c>
      <c r="G452" s="2">
        <v>1017000000</v>
      </c>
      <c r="H452" t="s">
        <v>12</v>
      </c>
      <c r="I452" s="2">
        <v>93000000</v>
      </c>
      <c r="J452" t="s">
        <v>19</v>
      </c>
      <c r="K452" t="s">
        <v>121</v>
      </c>
      <c r="L452">
        <f t="shared" si="7"/>
        <v>0.19848334981866134</v>
      </c>
    </row>
    <row r="453" spans="1:12" x14ac:dyDescent="0.2">
      <c r="A453">
        <v>479</v>
      </c>
      <c r="B453" t="s">
        <v>207</v>
      </c>
      <c r="C453" t="s">
        <v>17</v>
      </c>
      <c r="D453" s="1">
        <v>42735</v>
      </c>
      <c r="E453" s="2">
        <v>16661000000</v>
      </c>
      <c r="F453" s="2">
        <v>13107000000</v>
      </c>
      <c r="G453" s="2">
        <v>1145000000</v>
      </c>
      <c r="H453" t="s">
        <v>12</v>
      </c>
      <c r="I453" s="2">
        <v>134000000</v>
      </c>
      <c r="J453" t="s">
        <v>19</v>
      </c>
      <c r="K453" t="s">
        <v>121</v>
      </c>
      <c r="L453">
        <f t="shared" si="7"/>
        <v>0.21331252625892805</v>
      </c>
    </row>
    <row r="454" spans="1:12" x14ac:dyDescent="0.2">
      <c r="A454">
        <v>480</v>
      </c>
      <c r="B454" t="s">
        <v>208</v>
      </c>
      <c r="C454" t="s">
        <v>11</v>
      </c>
      <c r="D454" s="1">
        <v>41274</v>
      </c>
      <c r="E454" s="2">
        <v>1279067000</v>
      </c>
      <c r="F454" s="2">
        <v>461898000</v>
      </c>
      <c r="G454" s="2">
        <v>68538000</v>
      </c>
      <c r="H454" t="s">
        <v>12</v>
      </c>
      <c r="I454" s="2">
        <v>382553000</v>
      </c>
      <c r="J454" t="s">
        <v>52</v>
      </c>
      <c r="K454" t="s">
        <v>75</v>
      </c>
      <c r="L454">
        <f t="shared" si="7"/>
        <v>0.63887896411994061</v>
      </c>
    </row>
    <row r="455" spans="1:12" x14ac:dyDescent="0.2">
      <c r="A455">
        <v>481</v>
      </c>
      <c r="B455" t="s">
        <v>208</v>
      </c>
      <c r="C455" t="s">
        <v>15</v>
      </c>
      <c r="D455" s="1">
        <v>41639</v>
      </c>
      <c r="E455" s="2">
        <v>1482259000</v>
      </c>
      <c r="F455" s="2">
        <v>555660000</v>
      </c>
      <c r="G455" s="2">
        <v>69323000</v>
      </c>
      <c r="H455" t="s">
        <v>12</v>
      </c>
      <c r="I455" s="2">
        <v>475464000</v>
      </c>
      <c r="J455" t="s">
        <v>52</v>
      </c>
      <c r="K455" t="s">
        <v>75</v>
      </c>
      <c r="L455">
        <f t="shared" si="7"/>
        <v>0.62512624311945486</v>
      </c>
    </row>
    <row r="456" spans="1:12" x14ac:dyDescent="0.2">
      <c r="A456">
        <v>482</v>
      </c>
      <c r="B456" t="s">
        <v>208</v>
      </c>
      <c r="C456" t="s">
        <v>16</v>
      </c>
      <c r="D456" s="1">
        <v>42004</v>
      </c>
      <c r="E456" s="2">
        <v>1616438000</v>
      </c>
      <c r="F456" s="2">
        <v>603321000</v>
      </c>
      <c r="G456" s="2">
        <v>89468000</v>
      </c>
      <c r="H456" t="s">
        <v>12</v>
      </c>
      <c r="I456" s="2">
        <v>538513000</v>
      </c>
      <c r="J456" t="s">
        <v>52</v>
      </c>
      <c r="K456" t="s">
        <v>75</v>
      </c>
      <c r="L456">
        <f t="shared" si="7"/>
        <v>0.62675896013333021</v>
      </c>
    </row>
    <row r="457" spans="1:12" x14ac:dyDescent="0.2">
      <c r="A457">
        <v>483</v>
      </c>
      <c r="B457" t="s">
        <v>208</v>
      </c>
      <c r="C457" t="s">
        <v>17</v>
      </c>
      <c r="D457" s="1">
        <v>42369</v>
      </c>
      <c r="E457" s="2">
        <v>1763336000</v>
      </c>
      <c r="F457" s="2">
        <v>651282000</v>
      </c>
      <c r="G457" s="2">
        <v>139616000</v>
      </c>
      <c r="H457" t="s">
        <v>12</v>
      </c>
      <c r="I457" s="2">
        <v>570527000</v>
      </c>
      <c r="J457" t="s">
        <v>52</v>
      </c>
      <c r="K457" t="s">
        <v>75</v>
      </c>
      <c r="L457">
        <f t="shared" si="7"/>
        <v>0.630653488614762</v>
      </c>
    </row>
    <row r="458" spans="1:12" x14ac:dyDescent="0.2">
      <c r="A458">
        <v>484</v>
      </c>
      <c r="B458" t="s">
        <v>209</v>
      </c>
      <c r="C458" t="s">
        <v>11</v>
      </c>
      <c r="D458" s="1">
        <v>41307</v>
      </c>
      <c r="E458" s="2">
        <v>7394500000</v>
      </c>
      <c r="F458" s="2">
        <v>4741800000</v>
      </c>
      <c r="G458" s="2">
        <v>1732600000</v>
      </c>
      <c r="H458" t="s">
        <v>12</v>
      </c>
      <c r="I458" t="s">
        <v>12</v>
      </c>
      <c r="J458" t="s">
        <v>19</v>
      </c>
      <c r="K458" t="s">
        <v>197</v>
      </c>
      <c r="L458">
        <f t="shared" si="7"/>
        <v>0.35873960375955105</v>
      </c>
    </row>
    <row r="459" spans="1:12" x14ac:dyDescent="0.2">
      <c r="A459">
        <v>485</v>
      </c>
      <c r="B459" t="s">
        <v>209</v>
      </c>
      <c r="C459" t="s">
        <v>15</v>
      </c>
      <c r="D459" s="1">
        <v>41671</v>
      </c>
      <c r="E459" s="2">
        <v>7840300000</v>
      </c>
      <c r="F459" s="2">
        <v>5050500000</v>
      </c>
      <c r="G459" s="2">
        <v>1819500000</v>
      </c>
      <c r="H459" t="s">
        <v>12</v>
      </c>
      <c r="I459" t="s">
        <v>12</v>
      </c>
      <c r="J459" t="s">
        <v>19</v>
      </c>
      <c r="K459" t="s">
        <v>197</v>
      </c>
      <c r="L459">
        <f t="shared" si="7"/>
        <v>0.35582822085889576</v>
      </c>
    </row>
    <row r="460" spans="1:12" x14ac:dyDescent="0.2">
      <c r="A460">
        <v>486</v>
      </c>
      <c r="B460" t="s">
        <v>209</v>
      </c>
      <c r="C460" t="s">
        <v>16</v>
      </c>
      <c r="D460" s="1">
        <v>42035</v>
      </c>
      <c r="E460" s="2">
        <v>8602200000</v>
      </c>
      <c r="F460" s="2">
        <v>5568200000</v>
      </c>
      <c r="G460" s="2">
        <v>1993800000</v>
      </c>
      <c r="H460" t="s">
        <v>12</v>
      </c>
      <c r="I460" t="s">
        <v>12</v>
      </c>
      <c r="J460" t="s">
        <v>19</v>
      </c>
      <c r="K460" t="s">
        <v>197</v>
      </c>
      <c r="L460">
        <f t="shared" si="7"/>
        <v>0.35270047197228616</v>
      </c>
    </row>
    <row r="461" spans="1:12" x14ac:dyDescent="0.2">
      <c r="A461">
        <v>487</v>
      </c>
      <c r="B461" t="s">
        <v>209</v>
      </c>
      <c r="C461" t="s">
        <v>17</v>
      </c>
      <c r="D461" s="1">
        <v>42399</v>
      </c>
      <c r="E461" s="2">
        <v>15498400000</v>
      </c>
      <c r="F461" s="2">
        <v>10841700000</v>
      </c>
      <c r="G461" s="2">
        <v>3607000000</v>
      </c>
      <c r="H461" t="s">
        <v>12</v>
      </c>
      <c r="I461" t="s">
        <v>12</v>
      </c>
      <c r="J461" t="s">
        <v>19</v>
      </c>
      <c r="K461" t="s">
        <v>197</v>
      </c>
      <c r="L461">
        <f t="shared" si="7"/>
        <v>0.30046327362824554</v>
      </c>
    </row>
    <row r="462" spans="1:12" x14ac:dyDescent="0.2">
      <c r="A462">
        <v>488</v>
      </c>
      <c r="B462" t="s">
        <v>210</v>
      </c>
      <c r="C462" t="s">
        <v>11</v>
      </c>
      <c r="D462" s="1">
        <v>41274</v>
      </c>
      <c r="E462" s="2">
        <v>1663000000</v>
      </c>
      <c r="F462" t="s">
        <v>12</v>
      </c>
      <c r="G462" s="2">
        <v>1123200000</v>
      </c>
      <c r="H462" t="s">
        <v>12</v>
      </c>
      <c r="I462" s="2">
        <v>78300000</v>
      </c>
      <c r="J462" t="s">
        <v>13</v>
      </c>
      <c r="K462" t="s">
        <v>211</v>
      </c>
      <c r="L462" t="e">
        <f t="shared" si="7"/>
        <v>#VALUE!</v>
      </c>
    </row>
    <row r="463" spans="1:12" x14ac:dyDescent="0.2">
      <c r="A463">
        <v>489</v>
      </c>
      <c r="B463" t="s">
        <v>210</v>
      </c>
      <c r="C463" t="s">
        <v>15</v>
      </c>
      <c r="D463" s="1">
        <v>41639</v>
      </c>
      <c r="E463" s="2">
        <v>1558400000</v>
      </c>
      <c r="F463" t="s">
        <v>12</v>
      </c>
      <c r="G463" s="2">
        <v>1058000000</v>
      </c>
      <c r="H463" t="s">
        <v>12</v>
      </c>
      <c r="I463" s="2">
        <v>60400000</v>
      </c>
      <c r="J463" t="s">
        <v>13</v>
      </c>
      <c r="K463" t="s">
        <v>211</v>
      </c>
      <c r="L463" t="e">
        <f t="shared" si="7"/>
        <v>#VALUE!</v>
      </c>
    </row>
    <row r="464" spans="1:12" x14ac:dyDescent="0.2">
      <c r="A464">
        <v>490</v>
      </c>
      <c r="B464" t="s">
        <v>210</v>
      </c>
      <c r="C464" t="s">
        <v>16</v>
      </c>
      <c r="D464" s="1">
        <v>42004</v>
      </c>
      <c r="E464" s="2">
        <v>1584500000</v>
      </c>
      <c r="F464" t="s">
        <v>12</v>
      </c>
      <c r="G464" s="2">
        <v>1105700000</v>
      </c>
      <c r="H464" t="s">
        <v>12</v>
      </c>
      <c r="I464" s="2">
        <v>52500000</v>
      </c>
      <c r="J464" t="s">
        <v>13</v>
      </c>
      <c r="K464" t="s">
        <v>211</v>
      </c>
      <c r="L464" t="e">
        <f t="shared" si="7"/>
        <v>#VALUE!</v>
      </c>
    </row>
    <row r="465" spans="1:12" x14ac:dyDescent="0.2">
      <c r="A465">
        <v>491</v>
      </c>
      <c r="B465" t="s">
        <v>210</v>
      </c>
      <c r="C465" t="s">
        <v>17</v>
      </c>
      <c r="D465" s="1">
        <v>42369</v>
      </c>
      <c r="E465" s="2">
        <v>1637100000</v>
      </c>
      <c r="F465" t="s">
        <v>12</v>
      </c>
      <c r="G465" s="2">
        <v>1209100000</v>
      </c>
      <c r="H465" t="s">
        <v>12</v>
      </c>
      <c r="I465" s="2">
        <v>58700000</v>
      </c>
      <c r="J465" t="s">
        <v>13</v>
      </c>
      <c r="K465" t="s">
        <v>211</v>
      </c>
      <c r="L465" t="e">
        <f t="shared" si="7"/>
        <v>#VALUE!</v>
      </c>
    </row>
    <row r="466" spans="1:12" x14ac:dyDescent="0.2">
      <c r="A466">
        <v>492</v>
      </c>
      <c r="B466" t="s">
        <v>212</v>
      </c>
      <c r="C466" t="s">
        <v>11</v>
      </c>
      <c r="D466" s="1">
        <v>41639</v>
      </c>
      <c r="E466" s="2">
        <v>7155096000</v>
      </c>
      <c r="F466" s="2">
        <v>4376505000</v>
      </c>
      <c r="G466" s="2">
        <v>1616921000</v>
      </c>
      <c r="H466" t="s">
        <v>12</v>
      </c>
      <c r="I466" t="s">
        <v>12</v>
      </c>
      <c r="J466" t="s">
        <v>13</v>
      </c>
      <c r="K466" t="s">
        <v>157</v>
      </c>
      <c r="L466">
        <f t="shared" si="7"/>
        <v>0.38833734725571811</v>
      </c>
    </row>
    <row r="467" spans="1:12" x14ac:dyDescent="0.2">
      <c r="A467">
        <v>493</v>
      </c>
      <c r="B467" t="s">
        <v>212</v>
      </c>
      <c r="C467" t="s">
        <v>15</v>
      </c>
      <c r="D467" s="1">
        <v>42004</v>
      </c>
      <c r="E467" s="2">
        <v>7752728000</v>
      </c>
      <c r="F467" s="2">
        <v>4778479000</v>
      </c>
      <c r="G467" s="2">
        <v>1758765000</v>
      </c>
      <c r="H467" t="s">
        <v>12</v>
      </c>
      <c r="I467" t="s">
        <v>12</v>
      </c>
      <c r="J467" t="s">
        <v>13</v>
      </c>
      <c r="K467" t="s">
        <v>157</v>
      </c>
      <c r="L467">
        <f t="shared" si="7"/>
        <v>0.38363902357982893</v>
      </c>
    </row>
    <row r="468" spans="1:12" x14ac:dyDescent="0.2">
      <c r="A468">
        <v>494</v>
      </c>
      <c r="B468" t="s">
        <v>212</v>
      </c>
      <c r="C468" t="s">
        <v>16</v>
      </c>
      <c r="D468" s="1">
        <v>42369</v>
      </c>
      <c r="E468" s="2">
        <v>6956311000</v>
      </c>
      <c r="F468" s="2">
        <v>4388167000</v>
      </c>
      <c r="G468" s="2">
        <v>1647382000</v>
      </c>
      <c r="H468" t="s">
        <v>12</v>
      </c>
      <c r="I468" t="s">
        <v>12</v>
      </c>
      <c r="J468" t="s">
        <v>13</v>
      </c>
      <c r="K468" t="s">
        <v>157</v>
      </c>
      <c r="L468">
        <f t="shared" si="7"/>
        <v>0.36918188390369555</v>
      </c>
    </row>
    <row r="469" spans="1:12" x14ac:dyDescent="0.2">
      <c r="A469">
        <v>495</v>
      </c>
      <c r="B469" t="s">
        <v>212</v>
      </c>
      <c r="C469" t="s">
        <v>17</v>
      </c>
      <c r="D469" s="1">
        <v>42735</v>
      </c>
      <c r="E469" s="2">
        <v>6794342000</v>
      </c>
      <c r="F469" s="2">
        <v>4322373000</v>
      </c>
      <c r="G469" s="2">
        <v>1757523000</v>
      </c>
      <c r="H469" t="s">
        <v>12</v>
      </c>
      <c r="I469" t="s">
        <v>12</v>
      </c>
      <c r="J469" t="s">
        <v>13</v>
      </c>
      <c r="K469" t="s">
        <v>157</v>
      </c>
      <c r="L469">
        <f t="shared" si="7"/>
        <v>0.36382757888843398</v>
      </c>
    </row>
    <row r="470" spans="1:12" x14ac:dyDescent="0.2">
      <c r="A470">
        <v>496</v>
      </c>
      <c r="B470" t="s">
        <v>213</v>
      </c>
      <c r="C470" t="s">
        <v>11</v>
      </c>
      <c r="D470" s="1">
        <v>41639</v>
      </c>
      <c r="E470" s="2">
        <v>5997000000</v>
      </c>
      <c r="F470" s="2">
        <v>2499000000</v>
      </c>
      <c r="G470" s="2">
        <v>2337000000</v>
      </c>
      <c r="H470" t="s">
        <v>12</v>
      </c>
      <c r="I470" s="2">
        <v>115000000</v>
      </c>
      <c r="J470" t="s">
        <v>36</v>
      </c>
      <c r="K470" t="s">
        <v>214</v>
      </c>
      <c r="L470">
        <f t="shared" si="7"/>
        <v>0.58329164582291138</v>
      </c>
    </row>
    <row r="471" spans="1:12" x14ac:dyDescent="0.2">
      <c r="A471">
        <v>497</v>
      </c>
      <c r="B471" t="s">
        <v>213</v>
      </c>
      <c r="C471" t="s">
        <v>15</v>
      </c>
      <c r="D471" s="1">
        <v>42004</v>
      </c>
      <c r="E471" s="2">
        <v>6121000000</v>
      </c>
      <c r="F471" s="2">
        <v>2491000000</v>
      </c>
      <c r="G471" s="2">
        <v>2335000000</v>
      </c>
      <c r="H471" t="s">
        <v>12</v>
      </c>
      <c r="I471" s="2">
        <v>115000000</v>
      </c>
      <c r="J471" t="s">
        <v>36</v>
      </c>
      <c r="K471" t="s">
        <v>214</v>
      </c>
      <c r="L471">
        <f t="shared" si="7"/>
        <v>0.59304035288351575</v>
      </c>
    </row>
    <row r="472" spans="1:12" x14ac:dyDescent="0.2">
      <c r="A472">
        <v>498</v>
      </c>
      <c r="B472" t="s">
        <v>213</v>
      </c>
      <c r="C472" t="s">
        <v>16</v>
      </c>
      <c r="D472" s="1">
        <v>42369</v>
      </c>
      <c r="E472" s="2">
        <v>6282000000</v>
      </c>
      <c r="F472" s="2">
        <v>2559000000</v>
      </c>
      <c r="G472" s="2">
        <v>2320000000</v>
      </c>
      <c r="H472" t="s">
        <v>12</v>
      </c>
      <c r="I472" s="2">
        <v>105000000</v>
      </c>
      <c r="J472" t="s">
        <v>36</v>
      </c>
      <c r="K472" t="s">
        <v>214</v>
      </c>
      <c r="L472">
        <f t="shared" si="7"/>
        <v>0.59264565425023874</v>
      </c>
    </row>
    <row r="473" spans="1:12" x14ac:dyDescent="0.2">
      <c r="A473">
        <v>499</v>
      </c>
      <c r="B473" t="s">
        <v>213</v>
      </c>
      <c r="C473" t="s">
        <v>17</v>
      </c>
      <c r="D473" s="1">
        <v>42735</v>
      </c>
      <c r="E473" s="2">
        <v>6440000000</v>
      </c>
      <c r="F473" s="2">
        <v>2582000000</v>
      </c>
      <c r="G473" s="2">
        <v>2326000000</v>
      </c>
      <c r="H473" t="s">
        <v>12</v>
      </c>
      <c r="I473" s="2">
        <v>99000000</v>
      </c>
      <c r="J473" t="s">
        <v>36</v>
      </c>
      <c r="K473" t="s">
        <v>214</v>
      </c>
      <c r="L473">
        <f t="shared" si="7"/>
        <v>0.59906832298136647</v>
      </c>
    </row>
    <row r="474" spans="1:12" x14ac:dyDescent="0.2">
      <c r="A474">
        <v>500</v>
      </c>
      <c r="B474" t="s">
        <v>215</v>
      </c>
      <c r="C474" t="s">
        <v>11</v>
      </c>
      <c r="D474" s="1">
        <v>41420</v>
      </c>
      <c r="E474" s="2">
        <v>5921000000</v>
      </c>
      <c r="F474" s="2">
        <v>4616600000</v>
      </c>
      <c r="G474" s="2">
        <v>625200000</v>
      </c>
      <c r="H474" t="s">
        <v>12</v>
      </c>
      <c r="I474" s="2">
        <v>278300000</v>
      </c>
      <c r="J474" t="s">
        <v>19</v>
      </c>
      <c r="K474" t="s">
        <v>155</v>
      </c>
      <c r="L474">
        <f t="shared" si="7"/>
        <v>0.22030062489444346</v>
      </c>
    </row>
    <row r="475" spans="1:12" x14ac:dyDescent="0.2">
      <c r="A475">
        <v>501</v>
      </c>
      <c r="B475" t="s">
        <v>215</v>
      </c>
      <c r="C475" t="s">
        <v>15</v>
      </c>
      <c r="D475" s="1">
        <v>41784</v>
      </c>
      <c r="E475" s="2">
        <v>6285600000</v>
      </c>
      <c r="F475" s="2">
        <v>4990500000</v>
      </c>
      <c r="G475" s="2">
        <v>665400000</v>
      </c>
      <c r="H475" t="s">
        <v>12</v>
      </c>
      <c r="I475" s="2">
        <v>304400000</v>
      </c>
      <c r="J475" t="s">
        <v>19</v>
      </c>
      <c r="K475" t="s">
        <v>155</v>
      </c>
      <c r="L475">
        <f t="shared" si="7"/>
        <v>0.20604238258877439</v>
      </c>
    </row>
    <row r="476" spans="1:12" x14ac:dyDescent="0.2">
      <c r="A476">
        <v>502</v>
      </c>
      <c r="B476" t="s">
        <v>215</v>
      </c>
      <c r="C476" t="s">
        <v>16</v>
      </c>
      <c r="D476" s="1">
        <v>42155</v>
      </c>
      <c r="E476" s="2">
        <v>6764000000</v>
      </c>
      <c r="F476" s="2">
        <v>5341500000</v>
      </c>
      <c r="G476" s="2">
        <v>673500000</v>
      </c>
      <c r="H476" t="s">
        <v>12</v>
      </c>
      <c r="I476" s="2">
        <v>319300000</v>
      </c>
      <c r="J476" t="s">
        <v>19</v>
      </c>
      <c r="K476" t="s">
        <v>155</v>
      </c>
      <c r="L476">
        <f t="shared" si="7"/>
        <v>0.21030455351862798</v>
      </c>
    </row>
    <row r="477" spans="1:12" x14ac:dyDescent="0.2">
      <c r="A477">
        <v>503</v>
      </c>
      <c r="B477" t="s">
        <v>215</v>
      </c>
      <c r="C477" t="s">
        <v>17</v>
      </c>
      <c r="D477" s="1">
        <v>42519</v>
      </c>
      <c r="E477" s="2">
        <v>6933500000</v>
      </c>
      <c r="F477" s="2">
        <v>5392400000</v>
      </c>
      <c r="G477" s="2">
        <v>622900000</v>
      </c>
      <c r="H477" t="s">
        <v>12</v>
      </c>
      <c r="I477" s="2">
        <v>290200000</v>
      </c>
      <c r="J477" t="s">
        <v>19</v>
      </c>
      <c r="K477" t="s">
        <v>155</v>
      </c>
      <c r="L477">
        <f t="shared" si="7"/>
        <v>0.22226869546405137</v>
      </c>
    </row>
    <row r="478" spans="1:12" x14ac:dyDescent="0.2">
      <c r="A478">
        <v>504</v>
      </c>
      <c r="B478" t="s">
        <v>216</v>
      </c>
      <c r="C478" t="s">
        <v>11</v>
      </c>
      <c r="D478" s="1">
        <v>41274</v>
      </c>
      <c r="E478" s="2">
        <v>17912000000</v>
      </c>
      <c r="F478" s="2">
        <v>11235000000</v>
      </c>
      <c r="G478" s="2">
        <v>965000000</v>
      </c>
      <c r="H478" t="s">
        <v>12</v>
      </c>
      <c r="I478" s="2">
        <v>2145000000</v>
      </c>
      <c r="J478" t="s">
        <v>42</v>
      </c>
      <c r="K478" t="s">
        <v>45</v>
      </c>
      <c r="L478">
        <f t="shared" si="7"/>
        <v>0.37276686020544891</v>
      </c>
    </row>
    <row r="479" spans="1:12" x14ac:dyDescent="0.2">
      <c r="A479">
        <v>505</v>
      </c>
      <c r="B479" t="s">
        <v>216</v>
      </c>
      <c r="C479" t="s">
        <v>15</v>
      </c>
      <c r="D479" s="1">
        <v>41639</v>
      </c>
      <c r="E479" s="2">
        <v>22756000000</v>
      </c>
      <c r="F479" s="2">
        <v>13545000000</v>
      </c>
      <c r="G479" s="2">
        <v>1274000000</v>
      </c>
      <c r="H479" t="s">
        <v>12</v>
      </c>
      <c r="I479" s="2">
        <v>2668000000</v>
      </c>
      <c r="J479" t="s">
        <v>42</v>
      </c>
      <c r="K479" t="s">
        <v>45</v>
      </c>
      <c r="L479">
        <f t="shared" si="7"/>
        <v>0.40477236772719283</v>
      </c>
    </row>
    <row r="480" spans="1:12" x14ac:dyDescent="0.2">
      <c r="A480">
        <v>506</v>
      </c>
      <c r="B480" t="s">
        <v>216</v>
      </c>
      <c r="C480" t="s">
        <v>16</v>
      </c>
      <c r="D480" s="1">
        <v>42004</v>
      </c>
      <c r="E480" s="2">
        <v>23925000000</v>
      </c>
      <c r="F480" s="2">
        <v>14323000000</v>
      </c>
      <c r="G480" s="2">
        <v>1213000000</v>
      </c>
      <c r="H480" t="s">
        <v>12</v>
      </c>
      <c r="I480" s="2">
        <v>3066000000</v>
      </c>
      <c r="J480" t="s">
        <v>42</v>
      </c>
      <c r="K480" t="s">
        <v>45</v>
      </c>
      <c r="L480">
        <f t="shared" si="7"/>
        <v>0.401337513061651</v>
      </c>
    </row>
    <row r="481" spans="1:12" x14ac:dyDescent="0.2">
      <c r="A481">
        <v>507</v>
      </c>
      <c r="B481" t="s">
        <v>216</v>
      </c>
      <c r="C481" t="s">
        <v>17</v>
      </c>
      <c r="D481" s="1">
        <v>42369</v>
      </c>
      <c r="E481" s="2">
        <v>23459000000</v>
      </c>
      <c r="F481" s="2">
        <v>13728000000</v>
      </c>
      <c r="G481" s="2">
        <v>1135000000</v>
      </c>
      <c r="H481" t="s">
        <v>12</v>
      </c>
      <c r="I481" s="2">
        <v>3144000000</v>
      </c>
      <c r="J481" t="s">
        <v>42</v>
      </c>
      <c r="K481" t="s">
        <v>45</v>
      </c>
      <c r="L481">
        <f t="shared" si="7"/>
        <v>0.41480881538002468</v>
      </c>
    </row>
    <row r="482" spans="1:12" x14ac:dyDescent="0.2">
      <c r="A482">
        <v>508</v>
      </c>
      <c r="B482" t="s">
        <v>217</v>
      </c>
      <c r="C482" t="s">
        <v>11</v>
      </c>
      <c r="D482" s="1">
        <v>41274</v>
      </c>
      <c r="E482" s="2">
        <v>8186280000</v>
      </c>
      <c r="F482" s="2">
        <v>5583549000</v>
      </c>
      <c r="G482" s="2">
        <v>889879000</v>
      </c>
      <c r="H482" t="s">
        <v>12</v>
      </c>
      <c r="I482" s="2">
        <v>341969000</v>
      </c>
      <c r="J482" t="s">
        <v>25</v>
      </c>
      <c r="K482" t="s">
        <v>199</v>
      </c>
      <c r="L482">
        <f t="shared" si="7"/>
        <v>0.31793818437678656</v>
      </c>
    </row>
    <row r="483" spans="1:12" x14ac:dyDescent="0.2">
      <c r="A483">
        <v>509</v>
      </c>
      <c r="B483" t="s">
        <v>217</v>
      </c>
      <c r="C483" t="s">
        <v>15</v>
      </c>
      <c r="D483" s="1">
        <v>41639</v>
      </c>
      <c r="E483" s="2">
        <v>11764050000</v>
      </c>
      <c r="F483" s="2">
        <v>8198377000</v>
      </c>
      <c r="G483" s="2">
        <v>1516508000</v>
      </c>
      <c r="H483" t="s">
        <v>12</v>
      </c>
      <c r="I483" s="2">
        <v>528737000</v>
      </c>
      <c r="J483" t="s">
        <v>25</v>
      </c>
      <c r="K483" t="s">
        <v>199</v>
      </c>
      <c r="L483">
        <f t="shared" si="7"/>
        <v>0.30309910277497976</v>
      </c>
    </row>
    <row r="484" spans="1:12" x14ac:dyDescent="0.2">
      <c r="A484">
        <v>510</v>
      </c>
      <c r="B484" t="s">
        <v>217</v>
      </c>
      <c r="C484" t="s">
        <v>16</v>
      </c>
      <c r="D484" s="1">
        <v>42004</v>
      </c>
      <c r="E484" s="2">
        <v>12795106000</v>
      </c>
      <c r="F484" s="2">
        <v>9119305000</v>
      </c>
      <c r="G484" s="2">
        <v>1278506000</v>
      </c>
      <c r="H484" t="s">
        <v>12</v>
      </c>
      <c r="I484" s="2">
        <v>590935000</v>
      </c>
      <c r="J484" t="s">
        <v>25</v>
      </c>
      <c r="K484" t="s">
        <v>199</v>
      </c>
      <c r="L484">
        <f t="shared" si="7"/>
        <v>0.28728179352324246</v>
      </c>
    </row>
    <row r="485" spans="1:12" x14ac:dyDescent="0.2">
      <c r="A485">
        <v>511</v>
      </c>
      <c r="B485" t="s">
        <v>217</v>
      </c>
      <c r="C485" t="s">
        <v>17</v>
      </c>
      <c r="D485" s="1">
        <v>42369</v>
      </c>
      <c r="E485" s="2">
        <v>13781837000</v>
      </c>
      <c r="F485" s="2">
        <v>9824834000</v>
      </c>
      <c r="G485" s="2">
        <v>1947135000</v>
      </c>
      <c r="H485" t="s">
        <v>12</v>
      </c>
      <c r="I485" s="2">
        <v>638024000</v>
      </c>
      <c r="J485" t="s">
        <v>25</v>
      </c>
      <c r="K485" t="s">
        <v>199</v>
      </c>
      <c r="L485">
        <f t="shared" si="7"/>
        <v>0.28711723988609061</v>
      </c>
    </row>
    <row r="486" spans="1:12" x14ac:dyDescent="0.2">
      <c r="A486">
        <v>512</v>
      </c>
      <c r="B486" t="s">
        <v>218</v>
      </c>
      <c r="C486" t="s">
        <v>11</v>
      </c>
      <c r="D486" s="1">
        <v>41639</v>
      </c>
      <c r="E486" s="2">
        <v>10397000000</v>
      </c>
      <c r="F486" s="2">
        <v>2268000000</v>
      </c>
      <c r="G486" s="2">
        <v>2743000000</v>
      </c>
      <c r="H486" t="s">
        <v>12</v>
      </c>
      <c r="I486" s="2">
        <v>2780000000</v>
      </c>
      <c r="J486" t="s">
        <v>83</v>
      </c>
      <c r="K486" t="s">
        <v>84</v>
      </c>
      <c r="L486">
        <f t="shared" si="7"/>
        <v>0.7818601519669135</v>
      </c>
    </row>
    <row r="487" spans="1:12" x14ac:dyDescent="0.2">
      <c r="A487">
        <v>513</v>
      </c>
      <c r="B487" t="s">
        <v>218</v>
      </c>
      <c r="C487" t="s">
        <v>15</v>
      </c>
      <c r="D487" s="1">
        <v>42004</v>
      </c>
      <c r="E487" s="2">
        <v>20638000000</v>
      </c>
      <c r="F487" s="2">
        <v>2332000000</v>
      </c>
      <c r="G487" s="2">
        <v>8290000000</v>
      </c>
      <c r="H487" t="s">
        <v>12</v>
      </c>
      <c r="I487" s="2">
        <v>3319000000</v>
      </c>
      <c r="J487" t="s">
        <v>83</v>
      </c>
      <c r="K487" t="s">
        <v>84</v>
      </c>
      <c r="L487">
        <f t="shared" si="7"/>
        <v>0.88700455470491324</v>
      </c>
    </row>
    <row r="488" spans="1:12" x14ac:dyDescent="0.2">
      <c r="A488">
        <v>514</v>
      </c>
      <c r="B488" t="s">
        <v>218</v>
      </c>
      <c r="C488" t="s">
        <v>16</v>
      </c>
      <c r="D488" s="1">
        <v>42369</v>
      </c>
      <c r="E488" s="2">
        <v>13145000000</v>
      </c>
      <c r="F488" s="2">
        <v>2104000000</v>
      </c>
      <c r="G488" s="2">
        <v>7741000000</v>
      </c>
      <c r="H488" t="s">
        <v>12</v>
      </c>
      <c r="I488" s="2">
        <v>3129000000</v>
      </c>
      <c r="J488" t="s">
        <v>83</v>
      </c>
      <c r="K488" t="s">
        <v>84</v>
      </c>
      <c r="L488">
        <f t="shared" si="7"/>
        <v>0.83993914035755046</v>
      </c>
    </row>
    <row r="489" spans="1:12" x14ac:dyDescent="0.2">
      <c r="A489">
        <v>515</v>
      </c>
      <c r="B489" t="s">
        <v>218</v>
      </c>
      <c r="C489" t="s">
        <v>17</v>
      </c>
      <c r="D489" s="1">
        <v>42735</v>
      </c>
      <c r="E489" s="2">
        <v>12197000000</v>
      </c>
      <c r="F489" s="2">
        <v>1582000000</v>
      </c>
      <c r="G489" s="2">
        <v>6476000000</v>
      </c>
      <c r="H489" t="s">
        <v>12</v>
      </c>
      <c r="I489" s="2">
        <v>1792000000</v>
      </c>
      <c r="J489" t="s">
        <v>83</v>
      </c>
      <c r="K489" t="s">
        <v>84</v>
      </c>
      <c r="L489">
        <f t="shared" si="7"/>
        <v>0.87029597441993933</v>
      </c>
    </row>
    <row r="490" spans="1:12" x14ac:dyDescent="0.2">
      <c r="A490">
        <v>516</v>
      </c>
      <c r="B490" t="s">
        <v>219</v>
      </c>
      <c r="C490" t="s">
        <v>11</v>
      </c>
      <c r="D490" s="1">
        <v>41364</v>
      </c>
      <c r="E490" s="2">
        <v>3797000000</v>
      </c>
      <c r="F490" s="2">
        <v>1388000000</v>
      </c>
      <c r="G490" s="2">
        <v>1078000000</v>
      </c>
      <c r="H490" s="2">
        <v>1153000000</v>
      </c>
      <c r="I490" s="2">
        <v>30000000</v>
      </c>
      <c r="J490" t="s">
        <v>22</v>
      </c>
      <c r="K490" t="s">
        <v>93</v>
      </c>
      <c r="L490">
        <f t="shared" si="7"/>
        <v>0.63444824861732951</v>
      </c>
    </row>
    <row r="491" spans="1:12" x14ac:dyDescent="0.2">
      <c r="A491">
        <v>517</v>
      </c>
      <c r="B491" t="s">
        <v>219</v>
      </c>
      <c r="C491" t="s">
        <v>15</v>
      </c>
      <c r="D491" s="1">
        <v>41729</v>
      </c>
      <c r="E491" s="2">
        <v>3575000000</v>
      </c>
      <c r="F491" s="2">
        <v>1347000000</v>
      </c>
      <c r="G491" s="2">
        <v>1055000000</v>
      </c>
      <c r="H491" s="2">
        <v>1125000000</v>
      </c>
      <c r="I491" s="2">
        <v>16000000</v>
      </c>
      <c r="J491" t="s">
        <v>22</v>
      </c>
      <c r="K491" t="s">
        <v>93</v>
      </c>
      <c r="L491">
        <f t="shared" si="7"/>
        <v>0.6232167832167832</v>
      </c>
    </row>
    <row r="492" spans="1:12" x14ac:dyDescent="0.2">
      <c r="A492">
        <v>518</v>
      </c>
      <c r="B492" t="s">
        <v>219</v>
      </c>
      <c r="C492" t="s">
        <v>16</v>
      </c>
      <c r="D492" s="1">
        <v>42094</v>
      </c>
      <c r="E492" s="2">
        <v>4515000000</v>
      </c>
      <c r="F492" s="2">
        <v>1429000000</v>
      </c>
      <c r="G492" s="2">
        <v>1030000000</v>
      </c>
      <c r="H492" s="2">
        <v>1094000000</v>
      </c>
      <c r="I492" s="2">
        <v>14000000</v>
      </c>
      <c r="J492" t="s">
        <v>22</v>
      </c>
      <c r="K492" t="s">
        <v>93</v>
      </c>
      <c r="L492">
        <f t="shared" si="7"/>
        <v>0.68349944629014403</v>
      </c>
    </row>
    <row r="493" spans="1:12" x14ac:dyDescent="0.2">
      <c r="A493">
        <v>519</v>
      </c>
      <c r="B493" t="s">
        <v>219</v>
      </c>
      <c r="C493" t="s">
        <v>17</v>
      </c>
      <c r="D493" s="1">
        <v>42460</v>
      </c>
      <c r="E493" s="2">
        <v>4396000000</v>
      </c>
      <c r="F493" s="2">
        <v>1354000000</v>
      </c>
      <c r="G493" s="2">
        <v>1028000000</v>
      </c>
      <c r="H493" s="2">
        <v>1109000000</v>
      </c>
      <c r="I493" s="2">
        <v>7000000</v>
      </c>
      <c r="J493" t="s">
        <v>22</v>
      </c>
      <c r="K493" t="s">
        <v>93</v>
      </c>
      <c r="L493">
        <f t="shared" si="7"/>
        <v>0.69199272065514106</v>
      </c>
    </row>
    <row r="494" spans="1:12" x14ac:dyDescent="0.2">
      <c r="A494">
        <v>520</v>
      </c>
      <c r="B494" t="s">
        <v>220</v>
      </c>
      <c r="C494" t="s">
        <v>11</v>
      </c>
      <c r="D494" s="1">
        <v>41639</v>
      </c>
      <c r="E494" s="2">
        <v>8257000000</v>
      </c>
      <c r="F494" s="2">
        <v>1492000000</v>
      </c>
      <c r="G494" s="2">
        <v>3260000000</v>
      </c>
      <c r="H494" s="2">
        <v>915000000</v>
      </c>
      <c r="I494" s="2">
        <v>136000000</v>
      </c>
      <c r="J494" t="s">
        <v>22</v>
      </c>
      <c r="K494" t="s">
        <v>57</v>
      </c>
      <c r="L494">
        <f t="shared" si="7"/>
        <v>0.81930483226353401</v>
      </c>
    </row>
    <row r="495" spans="1:12" x14ac:dyDescent="0.2">
      <c r="A495">
        <v>521</v>
      </c>
      <c r="B495" t="s">
        <v>220</v>
      </c>
      <c r="C495" t="s">
        <v>15</v>
      </c>
      <c r="D495" s="1">
        <v>42004</v>
      </c>
      <c r="E495" s="2">
        <v>8790000000</v>
      </c>
      <c r="F495" s="2">
        <v>1663000000</v>
      </c>
      <c r="G495" s="2">
        <v>3593000000</v>
      </c>
      <c r="H495" s="2">
        <v>983000000</v>
      </c>
      <c r="I495" s="2">
        <v>75000000</v>
      </c>
      <c r="J495" t="s">
        <v>22</v>
      </c>
      <c r="K495" t="s">
        <v>57</v>
      </c>
      <c r="L495">
        <f t="shared" si="7"/>
        <v>0.81080773606370871</v>
      </c>
    </row>
    <row r="496" spans="1:12" x14ac:dyDescent="0.2">
      <c r="A496">
        <v>522</v>
      </c>
      <c r="B496" t="s">
        <v>220</v>
      </c>
      <c r="C496" t="s">
        <v>16</v>
      </c>
      <c r="D496" s="1">
        <v>42369</v>
      </c>
      <c r="E496" s="2">
        <v>8592000000</v>
      </c>
      <c r="F496" s="2">
        <v>1771000000</v>
      </c>
      <c r="G496" s="2">
        <v>3660000000</v>
      </c>
      <c r="H496" s="2">
        <v>923000000</v>
      </c>
      <c r="I496" s="2">
        <v>41000000</v>
      </c>
      <c r="J496" t="s">
        <v>22</v>
      </c>
      <c r="K496" t="s">
        <v>57</v>
      </c>
      <c r="L496">
        <f t="shared" si="7"/>
        <v>0.79387802607076352</v>
      </c>
    </row>
    <row r="497" spans="1:12" x14ac:dyDescent="0.2">
      <c r="A497">
        <v>523</v>
      </c>
      <c r="B497" t="s">
        <v>220</v>
      </c>
      <c r="C497" t="s">
        <v>17</v>
      </c>
      <c r="D497" s="1">
        <v>42735</v>
      </c>
      <c r="E497" s="2">
        <v>8979000000</v>
      </c>
      <c r="F497" s="2">
        <v>2007000000</v>
      </c>
      <c r="G497" s="2">
        <v>3499000000</v>
      </c>
      <c r="H497" s="2">
        <v>1114000000</v>
      </c>
      <c r="I497" s="2">
        <v>34000000</v>
      </c>
      <c r="J497" t="s">
        <v>22</v>
      </c>
      <c r="K497" t="s">
        <v>57</v>
      </c>
      <c r="L497">
        <f t="shared" si="7"/>
        <v>0.77647844971600399</v>
      </c>
    </row>
    <row r="498" spans="1:12" x14ac:dyDescent="0.2">
      <c r="A498">
        <v>524</v>
      </c>
      <c r="B498" t="s">
        <v>221</v>
      </c>
      <c r="C498" t="s">
        <v>11</v>
      </c>
      <c r="D498" s="1">
        <v>41274</v>
      </c>
      <c r="E498" s="2">
        <v>11838700000</v>
      </c>
      <c r="F498" s="2">
        <v>6385400000</v>
      </c>
      <c r="G498" s="2">
        <v>4018300000</v>
      </c>
      <c r="H498" t="s">
        <v>12</v>
      </c>
      <c r="I498" t="s">
        <v>12</v>
      </c>
      <c r="J498" t="s">
        <v>59</v>
      </c>
      <c r="K498" t="s">
        <v>60</v>
      </c>
      <c r="L498">
        <f t="shared" si="7"/>
        <v>0.46063334656676835</v>
      </c>
    </row>
    <row r="499" spans="1:12" x14ac:dyDescent="0.2">
      <c r="A499">
        <v>525</v>
      </c>
      <c r="B499" t="s">
        <v>221</v>
      </c>
      <c r="C499" t="s">
        <v>15</v>
      </c>
      <c r="D499" s="1">
        <v>41639</v>
      </c>
      <c r="E499" s="2">
        <v>13253400000</v>
      </c>
      <c r="F499" s="2">
        <v>7161200000</v>
      </c>
      <c r="G499" s="2">
        <v>4360300000</v>
      </c>
      <c r="H499" t="s">
        <v>12</v>
      </c>
      <c r="I499" t="s">
        <v>12</v>
      </c>
      <c r="J499" t="s">
        <v>59</v>
      </c>
      <c r="K499" t="s">
        <v>60</v>
      </c>
      <c r="L499">
        <f t="shared" si="7"/>
        <v>0.45967072600238434</v>
      </c>
    </row>
    <row r="500" spans="1:12" x14ac:dyDescent="0.2">
      <c r="A500">
        <v>526</v>
      </c>
      <c r="B500" t="s">
        <v>221</v>
      </c>
      <c r="C500" t="s">
        <v>16</v>
      </c>
      <c r="D500" s="1">
        <v>42004</v>
      </c>
      <c r="E500" s="2">
        <v>14280500000</v>
      </c>
      <c r="F500" s="2">
        <v>7679100000</v>
      </c>
      <c r="G500" s="2">
        <v>4577600000</v>
      </c>
      <c r="H500" t="s">
        <v>12</v>
      </c>
      <c r="I500" t="s">
        <v>12</v>
      </c>
      <c r="J500" t="s">
        <v>59</v>
      </c>
      <c r="K500" t="s">
        <v>60</v>
      </c>
      <c r="L500">
        <f t="shared" si="7"/>
        <v>0.4622667273554848</v>
      </c>
    </row>
    <row r="501" spans="1:12" x14ac:dyDescent="0.2">
      <c r="A501">
        <v>527</v>
      </c>
      <c r="B501" t="s">
        <v>221</v>
      </c>
      <c r="C501" t="s">
        <v>17</v>
      </c>
      <c r="D501" s="1">
        <v>42369</v>
      </c>
      <c r="E501" s="2">
        <v>13545100000</v>
      </c>
      <c r="F501" s="2">
        <v>7223500000</v>
      </c>
      <c r="G501" s="2">
        <v>4345500000</v>
      </c>
      <c r="H501" t="s">
        <v>12</v>
      </c>
      <c r="I501" t="s">
        <v>12</v>
      </c>
      <c r="J501" t="s">
        <v>59</v>
      </c>
      <c r="K501" t="s">
        <v>60</v>
      </c>
      <c r="L501">
        <f t="shared" si="7"/>
        <v>0.46670751784778264</v>
      </c>
    </row>
    <row r="502" spans="1:12" x14ac:dyDescent="0.2">
      <c r="A502">
        <v>528</v>
      </c>
      <c r="B502" t="s">
        <v>222</v>
      </c>
      <c r="C502" t="s">
        <v>11</v>
      </c>
      <c r="D502" s="1">
        <v>41639</v>
      </c>
      <c r="E502" s="2">
        <v>12354000000</v>
      </c>
      <c r="F502" s="2">
        <v>7191000000</v>
      </c>
      <c r="G502" s="2">
        <v>1895000000</v>
      </c>
      <c r="H502" t="s">
        <v>12</v>
      </c>
      <c r="I502" s="2">
        <v>1024000000</v>
      </c>
      <c r="J502" t="s">
        <v>42</v>
      </c>
      <c r="K502" t="s">
        <v>45</v>
      </c>
      <c r="L502">
        <f t="shared" si="7"/>
        <v>0.41792132102962598</v>
      </c>
    </row>
    <row r="503" spans="1:12" x14ac:dyDescent="0.2">
      <c r="A503">
        <v>529</v>
      </c>
      <c r="B503" t="s">
        <v>222</v>
      </c>
      <c r="C503" t="s">
        <v>15</v>
      </c>
      <c r="D503" s="1">
        <v>42004</v>
      </c>
      <c r="E503" s="2">
        <v>12919000000</v>
      </c>
      <c r="F503" s="2">
        <v>7807000000</v>
      </c>
      <c r="G503" s="2">
        <v>1877000000</v>
      </c>
      <c r="H503" t="s">
        <v>12</v>
      </c>
      <c r="I503" s="2">
        <v>1071000000</v>
      </c>
      <c r="J503" t="s">
        <v>42</v>
      </c>
      <c r="K503" t="s">
        <v>45</v>
      </c>
      <c r="L503">
        <f t="shared" si="7"/>
        <v>0.39569626132053559</v>
      </c>
    </row>
    <row r="504" spans="1:12" x14ac:dyDescent="0.2">
      <c r="A504">
        <v>530</v>
      </c>
      <c r="B504" t="s">
        <v>222</v>
      </c>
      <c r="C504" t="s">
        <v>16</v>
      </c>
      <c r="D504" s="1">
        <v>42369</v>
      </c>
      <c r="E504" s="2">
        <v>12554000000</v>
      </c>
      <c r="F504" s="2">
        <v>7060000000</v>
      </c>
      <c r="G504" s="2">
        <v>1937000000</v>
      </c>
      <c r="H504" t="s">
        <v>12</v>
      </c>
      <c r="I504" s="2">
        <v>1130000000</v>
      </c>
      <c r="J504" t="s">
        <v>42</v>
      </c>
      <c r="K504" t="s">
        <v>45</v>
      </c>
      <c r="L504">
        <f t="shared" si="7"/>
        <v>0.43762944081567623</v>
      </c>
    </row>
    <row r="505" spans="1:12" x14ac:dyDescent="0.2">
      <c r="A505">
        <v>531</v>
      </c>
      <c r="B505" t="s">
        <v>222</v>
      </c>
      <c r="C505" t="s">
        <v>17</v>
      </c>
      <c r="D505" s="1">
        <v>42735</v>
      </c>
      <c r="E505" s="2">
        <v>12075000000</v>
      </c>
      <c r="F505" s="2">
        <v>6357000000</v>
      </c>
      <c r="G505" s="2">
        <v>2031000000</v>
      </c>
      <c r="H505" t="s">
        <v>12</v>
      </c>
      <c r="I505" s="2">
        <v>1216000000</v>
      </c>
      <c r="J505" t="s">
        <v>42</v>
      </c>
      <c r="K505" t="s">
        <v>45</v>
      </c>
      <c r="L505">
        <f t="shared" si="7"/>
        <v>0.47354037267080751</v>
      </c>
    </row>
    <row r="506" spans="1:12" x14ac:dyDescent="0.2">
      <c r="A506">
        <v>532</v>
      </c>
      <c r="B506" t="s">
        <v>223</v>
      </c>
      <c r="C506" t="s">
        <v>11</v>
      </c>
      <c r="D506" s="1">
        <v>41274</v>
      </c>
      <c r="E506" s="2">
        <v>2073000000</v>
      </c>
      <c r="F506" s="2">
        <v>759500000</v>
      </c>
      <c r="G506" s="2">
        <v>673500000</v>
      </c>
      <c r="H506" t="s">
        <v>12</v>
      </c>
      <c r="I506" s="2">
        <v>160000000</v>
      </c>
      <c r="J506" t="s">
        <v>13</v>
      </c>
      <c r="K506" t="s">
        <v>211</v>
      </c>
      <c r="L506">
        <f t="shared" si="7"/>
        <v>0.63362276893391223</v>
      </c>
    </row>
    <row r="507" spans="1:12" x14ac:dyDescent="0.2">
      <c r="A507">
        <v>533</v>
      </c>
      <c r="B507" t="s">
        <v>223</v>
      </c>
      <c r="C507" t="s">
        <v>15</v>
      </c>
      <c r="D507" s="1">
        <v>41639</v>
      </c>
      <c r="E507" s="2">
        <v>2303900000</v>
      </c>
      <c r="F507" s="2">
        <v>787300000</v>
      </c>
      <c r="G507" s="2">
        <v>715800000</v>
      </c>
      <c r="H507" t="s">
        <v>12</v>
      </c>
      <c r="I507" s="2">
        <v>189600000</v>
      </c>
      <c r="J507" t="s">
        <v>13</v>
      </c>
      <c r="K507" t="s">
        <v>211</v>
      </c>
      <c r="L507">
        <f t="shared" si="7"/>
        <v>0.6582750987456053</v>
      </c>
    </row>
    <row r="508" spans="1:12" x14ac:dyDescent="0.2">
      <c r="A508">
        <v>534</v>
      </c>
      <c r="B508" t="s">
        <v>223</v>
      </c>
      <c r="C508" t="s">
        <v>16</v>
      </c>
      <c r="D508" s="1">
        <v>42004</v>
      </c>
      <c r="E508" s="2">
        <v>2436400000</v>
      </c>
      <c r="F508" s="2">
        <v>844700000</v>
      </c>
      <c r="G508" s="2">
        <v>751700000</v>
      </c>
      <c r="H508" t="s">
        <v>12</v>
      </c>
      <c r="I508" s="2">
        <v>201800000</v>
      </c>
      <c r="J508" t="s">
        <v>13</v>
      </c>
      <c r="K508" t="s">
        <v>211</v>
      </c>
      <c r="L508">
        <f t="shared" si="7"/>
        <v>0.65329995074700375</v>
      </c>
    </row>
    <row r="509" spans="1:12" x14ac:dyDescent="0.2">
      <c r="A509">
        <v>535</v>
      </c>
      <c r="B509" t="s">
        <v>223</v>
      </c>
      <c r="C509" t="s">
        <v>17</v>
      </c>
      <c r="D509" s="1">
        <v>42369</v>
      </c>
      <c r="E509" s="2">
        <v>2663600000</v>
      </c>
      <c r="F509" s="2">
        <v>887400000</v>
      </c>
      <c r="G509" s="2">
        <v>884300000</v>
      </c>
      <c r="H509" t="s">
        <v>12</v>
      </c>
      <c r="I509" s="2">
        <v>198000000</v>
      </c>
      <c r="J509" t="s">
        <v>13</v>
      </c>
      <c r="K509" t="s">
        <v>211</v>
      </c>
      <c r="L509">
        <f t="shared" si="7"/>
        <v>0.66684186814837065</v>
      </c>
    </row>
    <row r="510" spans="1:12" x14ac:dyDescent="0.2">
      <c r="A510">
        <v>536</v>
      </c>
      <c r="B510" t="s">
        <v>224</v>
      </c>
      <c r="C510" t="s">
        <v>11</v>
      </c>
      <c r="D510" s="1">
        <v>41274</v>
      </c>
      <c r="E510" s="2">
        <v>11862000000</v>
      </c>
      <c r="F510" s="2">
        <v>7747000000</v>
      </c>
      <c r="G510" s="2">
        <v>296000000</v>
      </c>
      <c r="H510" t="s">
        <v>12</v>
      </c>
      <c r="I510" s="2">
        <v>1562000000</v>
      </c>
      <c r="J510" t="s">
        <v>42</v>
      </c>
      <c r="K510" t="s">
        <v>45</v>
      </c>
      <c r="L510">
        <f t="shared" si="7"/>
        <v>0.34690608666329459</v>
      </c>
    </row>
    <row r="511" spans="1:12" x14ac:dyDescent="0.2">
      <c r="A511">
        <v>537</v>
      </c>
      <c r="B511" t="s">
        <v>224</v>
      </c>
      <c r="C511" t="s">
        <v>15</v>
      </c>
      <c r="D511" s="1">
        <v>41639</v>
      </c>
      <c r="E511" s="2">
        <v>12581000000</v>
      </c>
      <c r="F511" s="2">
        <v>8364000000</v>
      </c>
      <c r="G511" s="2">
        <v>309000000</v>
      </c>
      <c r="H511" t="s">
        <v>12</v>
      </c>
      <c r="I511" s="2">
        <v>1622000000</v>
      </c>
      <c r="J511" t="s">
        <v>42</v>
      </c>
      <c r="K511" t="s">
        <v>45</v>
      </c>
      <c r="L511">
        <f t="shared" si="7"/>
        <v>0.33518798187743426</v>
      </c>
    </row>
    <row r="512" spans="1:12" x14ac:dyDescent="0.2">
      <c r="A512">
        <v>538</v>
      </c>
      <c r="B512" t="s">
        <v>224</v>
      </c>
      <c r="C512" t="s">
        <v>16</v>
      </c>
      <c r="D512" s="1">
        <v>42004</v>
      </c>
      <c r="E512" s="2">
        <v>13413000000</v>
      </c>
      <c r="F512" s="2">
        <v>8742000000</v>
      </c>
      <c r="G512" s="2">
        <v>322000000</v>
      </c>
      <c r="H512" t="s">
        <v>12</v>
      </c>
      <c r="I512" s="2">
        <v>1720000000</v>
      </c>
      <c r="J512" t="s">
        <v>42</v>
      </c>
      <c r="K512" t="s">
        <v>45</v>
      </c>
      <c r="L512">
        <f t="shared" si="7"/>
        <v>0.34824424066204429</v>
      </c>
    </row>
    <row r="513" spans="1:12" x14ac:dyDescent="0.2">
      <c r="A513">
        <v>539</v>
      </c>
      <c r="B513" t="s">
        <v>224</v>
      </c>
      <c r="C513" t="s">
        <v>17</v>
      </c>
      <c r="D513" s="1">
        <v>42369</v>
      </c>
      <c r="E513" s="2">
        <v>11524000000</v>
      </c>
      <c r="F513" s="2">
        <v>7256000000</v>
      </c>
      <c r="G513" s="2">
        <v>336000000</v>
      </c>
      <c r="H513" t="s">
        <v>12</v>
      </c>
      <c r="I513" s="2">
        <v>1919000000</v>
      </c>
      <c r="J513" t="s">
        <v>42</v>
      </c>
      <c r="K513" t="s">
        <v>45</v>
      </c>
      <c r="L513">
        <f t="shared" si="7"/>
        <v>0.37035751475182233</v>
      </c>
    </row>
    <row r="514" spans="1:12" x14ac:dyDescent="0.2">
      <c r="A514">
        <v>540</v>
      </c>
      <c r="B514" t="s">
        <v>225</v>
      </c>
      <c r="C514" t="s">
        <v>11</v>
      </c>
      <c r="D514" s="1">
        <v>41455</v>
      </c>
      <c r="E514" s="2">
        <v>10181700000</v>
      </c>
      <c r="F514" s="2">
        <v>2025900000</v>
      </c>
      <c r="G514" s="2">
        <v>6597000000</v>
      </c>
      <c r="H514" t="s">
        <v>12</v>
      </c>
      <c r="I514" t="s">
        <v>12</v>
      </c>
      <c r="J514" t="s">
        <v>36</v>
      </c>
      <c r="K514" t="s">
        <v>170</v>
      </c>
      <c r="L514">
        <f t="shared" si="7"/>
        <v>0.80102536904446209</v>
      </c>
    </row>
    <row r="515" spans="1:12" x14ac:dyDescent="0.2">
      <c r="A515">
        <v>541</v>
      </c>
      <c r="B515" t="s">
        <v>225</v>
      </c>
      <c r="C515" t="s">
        <v>15</v>
      </c>
      <c r="D515" s="1">
        <v>41820</v>
      </c>
      <c r="E515" s="2">
        <v>10968800000</v>
      </c>
      <c r="F515" s="2">
        <v>2158200000</v>
      </c>
      <c r="G515" s="2">
        <v>6985900000</v>
      </c>
      <c r="H515" t="s">
        <v>12</v>
      </c>
      <c r="I515" t="s">
        <v>12</v>
      </c>
      <c r="J515" t="s">
        <v>36</v>
      </c>
      <c r="K515" t="s">
        <v>170</v>
      </c>
      <c r="L515">
        <f t="shared" ref="L515:L578" si="8">1-F515/E515</f>
        <v>0.80324192254394289</v>
      </c>
    </row>
    <row r="516" spans="1:12" x14ac:dyDescent="0.2">
      <c r="A516">
        <v>542</v>
      </c>
      <c r="B516" t="s">
        <v>225</v>
      </c>
      <c r="C516" t="s">
        <v>16</v>
      </c>
      <c r="D516" s="1">
        <v>42185</v>
      </c>
      <c r="E516" s="2">
        <v>10780400000</v>
      </c>
      <c r="F516" s="2">
        <v>2100600000</v>
      </c>
      <c r="G516" s="2">
        <v>7073500000</v>
      </c>
      <c r="H516" t="s">
        <v>12</v>
      </c>
      <c r="I516" t="s">
        <v>12</v>
      </c>
      <c r="J516" t="s">
        <v>36</v>
      </c>
      <c r="K516" t="s">
        <v>170</v>
      </c>
      <c r="L516">
        <f t="shared" si="8"/>
        <v>0.80514637675781975</v>
      </c>
    </row>
    <row r="517" spans="1:12" x14ac:dyDescent="0.2">
      <c r="A517">
        <v>543</v>
      </c>
      <c r="B517" t="s">
        <v>225</v>
      </c>
      <c r="C517" t="s">
        <v>17</v>
      </c>
      <c r="D517" s="1">
        <v>42551</v>
      </c>
      <c r="E517" s="2">
        <v>11262300000</v>
      </c>
      <c r="F517" s="2">
        <v>2181100000</v>
      </c>
      <c r="G517" s="2">
        <v>7337800000</v>
      </c>
      <c r="H517" t="s">
        <v>12</v>
      </c>
      <c r="I517" t="s">
        <v>12</v>
      </c>
      <c r="J517" t="s">
        <v>36</v>
      </c>
      <c r="K517" t="s">
        <v>170</v>
      </c>
      <c r="L517">
        <f t="shared" si="8"/>
        <v>0.80633618355042924</v>
      </c>
    </row>
    <row r="518" spans="1:12" x14ac:dyDescent="0.2">
      <c r="A518">
        <v>544</v>
      </c>
      <c r="B518" t="s">
        <v>226</v>
      </c>
      <c r="C518" t="s">
        <v>11</v>
      </c>
      <c r="D518" s="1">
        <v>41274</v>
      </c>
      <c r="E518" s="2">
        <v>8102000000</v>
      </c>
      <c r="F518" s="2">
        <v>6340000000</v>
      </c>
      <c r="G518" s="2">
        <v>644000000</v>
      </c>
      <c r="H518" s="2">
        <v>198000000</v>
      </c>
      <c r="I518" t="s">
        <v>12</v>
      </c>
      <c r="J518" t="s">
        <v>59</v>
      </c>
      <c r="K518" t="s">
        <v>193</v>
      </c>
      <c r="L518">
        <f t="shared" si="8"/>
        <v>0.21747716613181933</v>
      </c>
    </row>
    <row r="519" spans="1:12" x14ac:dyDescent="0.2">
      <c r="A519">
        <v>545</v>
      </c>
      <c r="B519" t="s">
        <v>226</v>
      </c>
      <c r="C519" t="s">
        <v>15</v>
      </c>
      <c r="D519" s="1">
        <v>41639</v>
      </c>
      <c r="E519" s="2">
        <v>9350000000</v>
      </c>
      <c r="F519" s="2">
        <v>6574000000</v>
      </c>
      <c r="G519" s="2">
        <v>645000000</v>
      </c>
      <c r="H519" s="2">
        <v>193000000</v>
      </c>
      <c r="I519" t="s">
        <v>12</v>
      </c>
      <c r="J519" t="s">
        <v>59</v>
      </c>
      <c r="K519" t="s">
        <v>193</v>
      </c>
      <c r="L519">
        <f t="shared" si="8"/>
        <v>0.29689839572192511</v>
      </c>
    </row>
    <row r="520" spans="1:12" x14ac:dyDescent="0.2">
      <c r="A520">
        <v>546</v>
      </c>
      <c r="B520" t="s">
        <v>226</v>
      </c>
      <c r="C520" t="s">
        <v>16</v>
      </c>
      <c r="D520" s="1">
        <v>42004</v>
      </c>
      <c r="E520" s="2">
        <v>9527000000</v>
      </c>
      <c r="F520" s="2">
        <v>7306000000</v>
      </c>
      <c r="G520" s="2">
        <v>755000000</v>
      </c>
      <c r="H520" s="2">
        <v>227000000</v>
      </c>
      <c r="I520" t="s">
        <v>12</v>
      </c>
      <c r="J520" t="s">
        <v>59</v>
      </c>
      <c r="K520" t="s">
        <v>193</v>
      </c>
      <c r="L520">
        <f t="shared" si="8"/>
        <v>0.23312690248766665</v>
      </c>
    </row>
    <row r="521" spans="1:12" x14ac:dyDescent="0.2">
      <c r="A521">
        <v>547</v>
      </c>
      <c r="B521" t="s">
        <v>226</v>
      </c>
      <c r="C521" t="s">
        <v>17</v>
      </c>
      <c r="D521" s="1">
        <v>42369</v>
      </c>
      <c r="E521" s="2">
        <v>9648000000</v>
      </c>
      <c r="F521" s="2">
        <v>7068000000</v>
      </c>
      <c r="G521" s="2">
        <v>762000000</v>
      </c>
      <c r="H521" s="2">
        <v>251000000</v>
      </c>
      <c r="I521" t="s">
        <v>12</v>
      </c>
      <c r="J521" t="s">
        <v>59</v>
      </c>
      <c r="K521" t="s">
        <v>193</v>
      </c>
      <c r="L521">
        <f t="shared" si="8"/>
        <v>0.26741293532338306</v>
      </c>
    </row>
    <row r="522" spans="1:12" x14ac:dyDescent="0.2">
      <c r="A522">
        <v>548</v>
      </c>
      <c r="B522" t="s">
        <v>227</v>
      </c>
      <c r="C522" t="s">
        <v>11</v>
      </c>
      <c r="D522" s="1">
        <v>41547</v>
      </c>
      <c r="E522" s="2">
        <v>24669000000</v>
      </c>
      <c r="F522" s="2">
        <v>14717000000</v>
      </c>
      <c r="G522" s="2">
        <v>6010000000</v>
      </c>
      <c r="H522" t="s">
        <v>12</v>
      </c>
      <c r="I522" t="s">
        <v>12</v>
      </c>
      <c r="J522" t="s">
        <v>13</v>
      </c>
      <c r="K522" t="s">
        <v>164</v>
      </c>
      <c r="L522">
        <f t="shared" si="8"/>
        <v>0.40342129798532567</v>
      </c>
    </row>
    <row r="523" spans="1:12" x14ac:dyDescent="0.2">
      <c r="A523">
        <v>549</v>
      </c>
      <c r="B523" t="s">
        <v>227</v>
      </c>
      <c r="C523" t="s">
        <v>15</v>
      </c>
      <c r="D523" s="1">
        <v>41912</v>
      </c>
      <c r="E523" s="2">
        <v>17733000000</v>
      </c>
      <c r="F523" s="2">
        <v>9971000000</v>
      </c>
      <c r="G523" s="2">
        <v>4375000000</v>
      </c>
      <c r="H523" t="s">
        <v>12</v>
      </c>
      <c r="I523" t="s">
        <v>12</v>
      </c>
      <c r="J523" t="s">
        <v>13</v>
      </c>
      <c r="K523" t="s">
        <v>164</v>
      </c>
      <c r="L523">
        <f t="shared" si="8"/>
        <v>0.43771499464275643</v>
      </c>
    </row>
    <row r="524" spans="1:12" x14ac:dyDescent="0.2">
      <c r="A524">
        <v>550</v>
      </c>
      <c r="B524" t="s">
        <v>227</v>
      </c>
      <c r="C524" t="s">
        <v>16</v>
      </c>
      <c r="D524" s="1">
        <v>42277</v>
      </c>
      <c r="E524" s="2">
        <v>16249000000</v>
      </c>
      <c r="F524" s="2">
        <v>9241000000</v>
      </c>
      <c r="G524" s="2">
        <v>4065000000</v>
      </c>
      <c r="H524" t="s">
        <v>12</v>
      </c>
      <c r="I524" t="s">
        <v>12</v>
      </c>
      <c r="J524" t="s">
        <v>13</v>
      </c>
      <c r="K524" t="s">
        <v>164</v>
      </c>
      <c r="L524">
        <f t="shared" si="8"/>
        <v>0.43128807926641644</v>
      </c>
    </row>
    <row r="525" spans="1:12" x14ac:dyDescent="0.2">
      <c r="A525">
        <v>551</v>
      </c>
      <c r="B525" t="s">
        <v>227</v>
      </c>
      <c r="C525" t="s">
        <v>17</v>
      </c>
      <c r="D525" s="1">
        <v>42643</v>
      </c>
      <c r="E525" s="2">
        <v>14522000000</v>
      </c>
      <c r="F525" s="2">
        <v>8260000000</v>
      </c>
      <c r="G525" s="2">
        <v>3758000000</v>
      </c>
      <c r="H525" t="s">
        <v>12</v>
      </c>
      <c r="I525" t="s">
        <v>12</v>
      </c>
      <c r="J525" t="s">
        <v>13</v>
      </c>
      <c r="K525" t="s">
        <v>164</v>
      </c>
      <c r="L525">
        <f t="shared" si="8"/>
        <v>0.43120782261396506</v>
      </c>
    </row>
    <row r="526" spans="1:12" x14ac:dyDescent="0.2">
      <c r="A526">
        <v>552</v>
      </c>
      <c r="B526" t="s">
        <v>228</v>
      </c>
      <c r="C526" t="s">
        <v>11</v>
      </c>
      <c r="D526" s="1">
        <v>41274</v>
      </c>
      <c r="E526" s="2">
        <v>11682636000</v>
      </c>
      <c r="F526" s="2">
        <v>1699428000</v>
      </c>
      <c r="G526" s="2">
        <v>3862434000</v>
      </c>
      <c r="H526" t="s">
        <v>12</v>
      </c>
      <c r="I526" s="2">
        <v>3169703000</v>
      </c>
      <c r="J526" t="s">
        <v>83</v>
      </c>
      <c r="K526" t="s">
        <v>84</v>
      </c>
      <c r="L526">
        <f t="shared" si="8"/>
        <v>0.85453385691379924</v>
      </c>
    </row>
    <row r="527" spans="1:12" x14ac:dyDescent="0.2">
      <c r="A527">
        <v>553</v>
      </c>
      <c r="B527" t="s">
        <v>228</v>
      </c>
      <c r="C527" t="s">
        <v>15</v>
      </c>
      <c r="D527" s="1">
        <v>41639</v>
      </c>
      <c r="E527" s="2">
        <v>14487118000</v>
      </c>
      <c r="F527" s="2">
        <v>2066893000</v>
      </c>
      <c r="G527" s="2">
        <v>4621096000</v>
      </c>
      <c r="H527" t="s">
        <v>12</v>
      </c>
      <c r="I527" s="2">
        <v>3600976000</v>
      </c>
      <c r="J527" t="s">
        <v>83</v>
      </c>
      <c r="K527" t="s">
        <v>84</v>
      </c>
      <c r="L527">
        <f t="shared" si="8"/>
        <v>0.85732890420303054</v>
      </c>
    </row>
    <row r="528" spans="1:12" x14ac:dyDescent="0.2">
      <c r="A528">
        <v>554</v>
      </c>
      <c r="B528" t="s">
        <v>228</v>
      </c>
      <c r="C528" t="s">
        <v>16</v>
      </c>
      <c r="D528" s="1">
        <v>42004</v>
      </c>
      <c r="E528" s="2">
        <v>18035340000</v>
      </c>
      <c r="F528" s="2">
        <v>2534389000</v>
      </c>
      <c r="G528" s="2">
        <v>5285634000</v>
      </c>
      <c r="H528" t="s">
        <v>12</v>
      </c>
      <c r="I528" s="2">
        <v>3997041000</v>
      </c>
      <c r="J528" t="s">
        <v>83</v>
      </c>
      <c r="K528" t="s">
        <v>84</v>
      </c>
      <c r="L528">
        <f t="shared" si="8"/>
        <v>0.85947650557183841</v>
      </c>
    </row>
    <row r="529" spans="1:12" x14ac:dyDescent="0.2">
      <c r="A529">
        <v>555</v>
      </c>
      <c r="B529" t="s">
        <v>228</v>
      </c>
      <c r="C529" t="s">
        <v>17</v>
      </c>
      <c r="D529" s="1">
        <v>42369</v>
      </c>
      <c r="E529" s="2">
        <v>8757428000</v>
      </c>
      <c r="F529" s="2">
        <v>2177757000</v>
      </c>
      <c r="G529" s="2">
        <v>3174320000</v>
      </c>
      <c r="H529" t="s">
        <v>12</v>
      </c>
      <c r="I529" s="2">
        <v>3313644000</v>
      </c>
      <c r="J529" t="s">
        <v>83</v>
      </c>
      <c r="K529" t="s">
        <v>84</v>
      </c>
      <c r="L529">
        <f t="shared" si="8"/>
        <v>0.75132458982249128</v>
      </c>
    </row>
    <row r="530" spans="1:12" x14ac:dyDescent="0.2">
      <c r="A530">
        <v>556</v>
      </c>
      <c r="B530" t="s">
        <v>229</v>
      </c>
      <c r="C530" t="s">
        <v>11</v>
      </c>
      <c r="D530" s="1">
        <v>41274</v>
      </c>
      <c r="E530" s="2">
        <v>1887376000</v>
      </c>
      <c r="F530" s="2">
        <v>944617000</v>
      </c>
      <c r="G530" s="2">
        <v>531180000</v>
      </c>
      <c r="H530" t="s">
        <v>12</v>
      </c>
      <c r="I530" t="s">
        <v>12</v>
      </c>
      <c r="J530" t="s">
        <v>52</v>
      </c>
      <c r="K530" t="s">
        <v>53</v>
      </c>
      <c r="L530">
        <f t="shared" si="8"/>
        <v>0.49950778223311099</v>
      </c>
    </row>
    <row r="531" spans="1:12" x14ac:dyDescent="0.2">
      <c r="A531">
        <v>557</v>
      </c>
      <c r="B531" t="s">
        <v>229</v>
      </c>
      <c r="C531" t="s">
        <v>15</v>
      </c>
      <c r="D531" s="1">
        <v>41639</v>
      </c>
      <c r="E531" s="2">
        <v>2152766000</v>
      </c>
      <c r="F531" s="2">
        <v>1064403000</v>
      </c>
      <c r="G531" s="2">
        <v>621413000</v>
      </c>
      <c r="H531" t="s">
        <v>12</v>
      </c>
      <c r="I531" t="s">
        <v>12</v>
      </c>
      <c r="J531" t="s">
        <v>52</v>
      </c>
      <c r="K531" t="s">
        <v>53</v>
      </c>
      <c r="L531">
        <f t="shared" si="8"/>
        <v>0.505564933671379</v>
      </c>
    </row>
    <row r="532" spans="1:12" x14ac:dyDescent="0.2">
      <c r="A532">
        <v>558</v>
      </c>
      <c r="B532" t="s">
        <v>229</v>
      </c>
      <c r="C532" t="s">
        <v>16</v>
      </c>
      <c r="D532" s="1">
        <v>42004</v>
      </c>
      <c r="E532" s="2">
        <v>2443776000</v>
      </c>
      <c r="F532" s="2">
        <v>1197885000</v>
      </c>
      <c r="G532" s="2">
        <v>734119000</v>
      </c>
      <c r="H532" t="s">
        <v>12</v>
      </c>
      <c r="I532" t="s">
        <v>12</v>
      </c>
      <c r="J532" t="s">
        <v>52</v>
      </c>
      <c r="K532" t="s">
        <v>53</v>
      </c>
      <c r="L532">
        <f t="shared" si="8"/>
        <v>0.50982209498742925</v>
      </c>
    </row>
    <row r="533" spans="1:12" x14ac:dyDescent="0.2">
      <c r="A533">
        <v>559</v>
      </c>
      <c r="B533" t="s">
        <v>229</v>
      </c>
      <c r="C533" t="s">
        <v>17</v>
      </c>
      <c r="D533" s="1">
        <v>42369</v>
      </c>
      <c r="E533" s="2">
        <v>2725867000</v>
      </c>
      <c r="F533" s="2">
        <v>1291506000</v>
      </c>
      <c r="G533" s="2">
        <v>825296000</v>
      </c>
      <c r="H533" t="s">
        <v>12</v>
      </c>
      <c r="I533" t="s">
        <v>12</v>
      </c>
      <c r="J533" t="s">
        <v>52</v>
      </c>
      <c r="K533" t="s">
        <v>53</v>
      </c>
      <c r="L533">
        <f t="shared" si="8"/>
        <v>0.52620358953683355</v>
      </c>
    </row>
    <row r="534" spans="1:12" x14ac:dyDescent="0.2">
      <c r="A534">
        <v>560</v>
      </c>
      <c r="B534" t="s">
        <v>230</v>
      </c>
      <c r="C534" t="s">
        <v>11</v>
      </c>
      <c r="D534" s="1">
        <v>41274</v>
      </c>
      <c r="E534" s="2">
        <v>1747502000</v>
      </c>
      <c r="F534" s="2">
        <v>625507000</v>
      </c>
      <c r="G534" s="2">
        <v>47233000</v>
      </c>
      <c r="H534" t="s">
        <v>12</v>
      </c>
      <c r="I534" s="2">
        <v>560669000</v>
      </c>
      <c r="J534" t="s">
        <v>52</v>
      </c>
      <c r="K534" t="s">
        <v>53</v>
      </c>
      <c r="L534">
        <f t="shared" si="8"/>
        <v>0.64205648977798024</v>
      </c>
    </row>
    <row r="535" spans="1:12" x14ac:dyDescent="0.2">
      <c r="A535">
        <v>561</v>
      </c>
      <c r="B535" t="s">
        <v>230</v>
      </c>
      <c r="C535" t="s">
        <v>15</v>
      </c>
      <c r="D535" s="1">
        <v>41639</v>
      </c>
      <c r="E535" s="2">
        <v>2387702000</v>
      </c>
      <c r="F535" s="2">
        <v>834228000</v>
      </c>
      <c r="G535" s="2">
        <v>62179000</v>
      </c>
      <c r="H535" t="s">
        <v>12</v>
      </c>
      <c r="I535" s="2">
        <v>978973000</v>
      </c>
      <c r="J535" t="s">
        <v>52</v>
      </c>
      <c r="K535" t="s">
        <v>53</v>
      </c>
      <c r="L535">
        <f t="shared" si="8"/>
        <v>0.65061469144809525</v>
      </c>
    </row>
    <row r="536" spans="1:12" x14ac:dyDescent="0.2">
      <c r="A536">
        <v>562</v>
      </c>
      <c r="B536" t="s">
        <v>230</v>
      </c>
      <c r="C536" t="s">
        <v>16</v>
      </c>
      <c r="D536" s="1">
        <v>42004</v>
      </c>
      <c r="E536" s="2">
        <v>2614748000</v>
      </c>
      <c r="F536" s="2">
        <v>883564000</v>
      </c>
      <c r="G536" s="2">
        <v>50948000</v>
      </c>
      <c r="H536" t="s">
        <v>12</v>
      </c>
      <c r="I536" s="2">
        <v>758861000</v>
      </c>
      <c r="J536" t="s">
        <v>52</v>
      </c>
      <c r="K536" t="s">
        <v>53</v>
      </c>
      <c r="L536">
        <f t="shared" si="8"/>
        <v>0.66208445326280008</v>
      </c>
    </row>
    <row r="537" spans="1:12" x14ac:dyDescent="0.2">
      <c r="A537">
        <v>563</v>
      </c>
      <c r="B537" t="s">
        <v>230</v>
      </c>
      <c r="C537" t="s">
        <v>17</v>
      </c>
      <c r="D537" s="1">
        <v>42369</v>
      </c>
      <c r="E537" s="2">
        <v>2744965000</v>
      </c>
      <c r="F537" s="2">
        <v>905168000</v>
      </c>
      <c r="G537" s="2">
        <v>65082000</v>
      </c>
      <c r="H537" t="s">
        <v>12</v>
      </c>
      <c r="I537" s="2">
        <v>765895000</v>
      </c>
      <c r="J537" t="s">
        <v>52</v>
      </c>
      <c r="K537" t="s">
        <v>53</v>
      </c>
      <c r="L537">
        <f t="shared" si="8"/>
        <v>0.67024424719440867</v>
      </c>
    </row>
    <row r="538" spans="1:12" x14ac:dyDescent="0.2">
      <c r="A538">
        <v>564</v>
      </c>
      <c r="B538" t="s">
        <v>231</v>
      </c>
      <c r="C538" t="s">
        <v>11</v>
      </c>
      <c r="D538" s="1">
        <v>41639</v>
      </c>
      <c r="E538" s="2">
        <v>1859177000</v>
      </c>
      <c r="F538" s="2">
        <v>354561000</v>
      </c>
      <c r="G538" s="2">
        <v>200849000</v>
      </c>
      <c r="H538" t="s">
        <v>12</v>
      </c>
      <c r="I538" s="2">
        <v>653132000</v>
      </c>
      <c r="J538" t="s">
        <v>83</v>
      </c>
      <c r="K538" t="s">
        <v>84</v>
      </c>
      <c r="L538">
        <f t="shared" si="8"/>
        <v>0.8092914230328796</v>
      </c>
    </row>
    <row r="539" spans="1:12" x14ac:dyDescent="0.2">
      <c r="A539">
        <v>565</v>
      </c>
      <c r="B539" t="s">
        <v>231</v>
      </c>
      <c r="C539" t="s">
        <v>15</v>
      </c>
      <c r="D539" s="1">
        <v>42004</v>
      </c>
      <c r="E539" s="2">
        <v>2388768000</v>
      </c>
      <c r="F539" s="2">
        <v>443974000</v>
      </c>
      <c r="G539" s="2">
        <v>238134000</v>
      </c>
      <c r="H539" t="s">
        <v>12</v>
      </c>
      <c r="I539" s="2">
        <v>679298000</v>
      </c>
      <c r="J539" t="s">
        <v>83</v>
      </c>
      <c r="K539" t="s">
        <v>84</v>
      </c>
      <c r="L539">
        <f t="shared" si="8"/>
        <v>0.81414101327546251</v>
      </c>
    </row>
    <row r="540" spans="1:12" x14ac:dyDescent="0.2">
      <c r="A540">
        <v>566</v>
      </c>
      <c r="B540" t="s">
        <v>231</v>
      </c>
      <c r="C540" t="s">
        <v>16</v>
      </c>
      <c r="D540" s="1">
        <v>42369</v>
      </c>
      <c r="E540" s="2">
        <v>1954000000</v>
      </c>
      <c r="F540" s="2">
        <v>523043000</v>
      </c>
      <c r="G540" s="2">
        <v>249925000</v>
      </c>
      <c r="H540" t="s">
        <v>12</v>
      </c>
      <c r="I540" s="2">
        <v>819216000</v>
      </c>
      <c r="J540" t="s">
        <v>83</v>
      </c>
      <c r="K540" t="s">
        <v>84</v>
      </c>
      <c r="L540">
        <f t="shared" si="8"/>
        <v>0.73232190378710338</v>
      </c>
    </row>
    <row r="541" spans="1:12" x14ac:dyDescent="0.2">
      <c r="A541">
        <v>567</v>
      </c>
      <c r="B541" t="s">
        <v>231</v>
      </c>
      <c r="C541" t="s">
        <v>17</v>
      </c>
      <c r="D541" s="1">
        <v>42735</v>
      </c>
      <c r="E541" s="2">
        <v>1857339000</v>
      </c>
      <c r="F541" s="2">
        <v>613909000</v>
      </c>
      <c r="G541" s="2">
        <v>272747000</v>
      </c>
      <c r="H541" t="s">
        <v>12</v>
      </c>
      <c r="I541" s="2">
        <v>927920000</v>
      </c>
      <c r="J541" t="s">
        <v>83</v>
      </c>
      <c r="K541" t="s">
        <v>84</v>
      </c>
      <c r="L541">
        <f t="shared" si="8"/>
        <v>0.66946852459351791</v>
      </c>
    </row>
    <row r="542" spans="1:12" x14ac:dyDescent="0.2">
      <c r="A542">
        <v>568</v>
      </c>
      <c r="B542" t="s">
        <v>232</v>
      </c>
      <c r="C542" t="s">
        <v>11</v>
      </c>
      <c r="D542" s="1">
        <v>41274</v>
      </c>
      <c r="E542" s="2">
        <v>6273787000</v>
      </c>
      <c r="F542" s="2">
        <v>3667434000</v>
      </c>
      <c r="G542" s="2">
        <v>747356000</v>
      </c>
      <c r="H542" t="s">
        <v>12</v>
      </c>
      <c r="I542" s="2">
        <v>740791000</v>
      </c>
      <c r="J542" t="s">
        <v>42</v>
      </c>
      <c r="K542" t="s">
        <v>43</v>
      </c>
      <c r="L542">
        <f t="shared" si="8"/>
        <v>0.41543536623095434</v>
      </c>
    </row>
    <row r="543" spans="1:12" x14ac:dyDescent="0.2">
      <c r="A543">
        <v>569</v>
      </c>
      <c r="B543" t="s">
        <v>232</v>
      </c>
      <c r="C543" t="s">
        <v>15</v>
      </c>
      <c r="D543" s="1">
        <v>41639</v>
      </c>
      <c r="E543" s="2">
        <v>7301204000</v>
      </c>
      <c r="F543" s="2">
        <v>3997940000</v>
      </c>
      <c r="G543" s="2">
        <v>914149000</v>
      </c>
      <c r="H543" t="s">
        <v>12</v>
      </c>
      <c r="I543" s="2">
        <v>859680000</v>
      </c>
      <c r="J543" t="s">
        <v>42</v>
      </c>
      <c r="K543" t="s">
        <v>43</v>
      </c>
      <c r="L543">
        <f t="shared" si="8"/>
        <v>0.4524272982921721</v>
      </c>
    </row>
    <row r="544" spans="1:12" x14ac:dyDescent="0.2">
      <c r="A544">
        <v>570</v>
      </c>
      <c r="B544" t="s">
        <v>232</v>
      </c>
      <c r="C544" t="s">
        <v>16</v>
      </c>
      <c r="D544" s="1">
        <v>42004</v>
      </c>
      <c r="E544" s="2">
        <v>7741856000</v>
      </c>
      <c r="F544" s="2">
        <v>4449139000</v>
      </c>
      <c r="G544" s="2">
        <v>1034507000</v>
      </c>
      <c r="H544" t="s">
        <v>12</v>
      </c>
      <c r="I544" s="2">
        <v>625361000</v>
      </c>
      <c r="J544" t="s">
        <v>42</v>
      </c>
      <c r="K544" t="s">
        <v>43</v>
      </c>
      <c r="L544">
        <f t="shared" si="8"/>
        <v>0.42531364572009611</v>
      </c>
    </row>
    <row r="545" spans="1:12" x14ac:dyDescent="0.2">
      <c r="A545">
        <v>571</v>
      </c>
      <c r="B545" t="s">
        <v>232</v>
      </c>
      <c r="C545" t="s">
        <v>17</v>
      </c>
      <c r="D545" s="1">
        <v>42369</v>
      </c>
      <c r="E545" s="2">
        <v>7954827000</v>
      </c>
      <c r="F545" s="2">
        <v>4416194000</v>
      </c>
      <c r="G545" s="2">
        <v>1086274000</v>
      </c>
      <c r="H545" t="s">
        <v>12</v>
      </c>
      <c r="I545" s="2">
        <v>688195000</v>
      </c>
      <c r="J545" t="s">
        <v>42</v>
      </c>
      <c r="K545" t="s">
        <v>43</v>
      </c>
      <c r="L545">
        <f t="shared" si="8"/>
        <v>0.4448409751714274</v>
      </c>
    </row>
    <row r="546" spans="1:12" x14ac:dyDescent="0.2">
      <c r="A546">
        <v>572</v>
      </c>
      <c r="B546" t="s">
        <v>233</v>
      </c>
      <c r="C546" t="s">
        <v>11</v>
      </c>
      <c r="D546" s="1">
        <v>41274</v>
      </c>
      <c r="E546" s="2">
        <v>535153000</v>
      </c>
      <c r="F546" s="2">
        <v>172167000</v>
      </c>
      <c r="G546" s="2">
        <v>24573000</v>
      </c>
      <c r="H546" t="s">
        <v>12</v>
      </c>
      <c r="I546" s="2">
        <v>169173000</v>
      </c>
      <c r="J546" t="s">
        <v>52</v>
      </c>
      <c r="K546" t="s">
        <v>234</v>
      </c>
      <c r="L546">
        <f t="shared" si="8"/>
        <v>0.6782845279761115</v>
      </c>
    </row>
    <row r="547" spans="1:12" x14ac:dyDescent="0.2">
      <c r="A547">
        <v>573</v>
      </c>
      <c r="B547" t="s">
        <v>233</v>
      </c>
      <c r="C547" t="s">
        <v>15</v>
      </c>
      <c r="D547" s="1">
        <v>41639</v>
      </c>
      <c r="E547" s="2">
        <v>610590000</v>
      </c>
      <c r="F547" s="2">
        <v>197336000</v>
      </c>
      <c r="G547" s="2">
        <v>26684000</v>
      </c>
      <c r="H547" t="s">
        <v>12</v>
      </c>
      <c r="I547" s="2">
        <v>192420000</v>
      </c>
      <c r="J547" t="s">
        <v>52</v>
      </c>
      <c r="K547" t="s">
        <v>234</v>
      </c>
      <c r="L547">
        <f t="shared" si="8"/>
        <v>0.67681095334021191</v>
      </c>
    </row>
    <row r="548" spans="1:12" x14ac:dyDescent="0.2">
      <c r="A548">
        <v>574</v>
      </c>
      <c r="B548" t="s">
        <v>233</v>
      </c>
      <c r="C548" t="s">
        <v>16</v>
      </c>
      <c r="D548" s="1">
        <v>42004</v>
      </c>
      <c r="E548" s="2">
        <v>970938000</v>
      </c>
      <c r="F548" s="2">
        <v>312546000</v>
      </c>
      <c r="G548" s="2">
        <v>40878000</v>
      </c>
      <c r="H548" t="s">
        <v>12</v>
      </c>
      <c r="I548" s="2">
        <v>360592000</v>
      </c>
      <c r="J548" t="s">
        <v>52</v>
      </c>
      <c r="K548" t="s">
        <v>234</v>
      </c>
      <c r="L548">
        <f t="shared" si="8"/>
        <v>0.67809891053805704</v>
      </c>
    </row>
    <row r="549" spans="1:12" x14ac:dyDescent="0.2">
      <c r="A549">
        <v>575</v>
      </c>
      <c r="B549" t="s">
        <v>233</v>
      </c>
      <c r="C549" t="s">
        <v>17</v>
      </c>
      <c r="D549" s="1">
        <v>42369</v>
      </c>
      <c r="E549" s="2">
        <v>1194407000</v>
      </c>
      <c r="F549" s="2">
        <v>363508000</v>
      </c>
      <c r="G549" s="2">
        <v>40090000</v>
      </c>
      <c r="H549" t="s">
        <v>12</v>
      </c>
      <c r="I549" s="2">
        <v>453423000</v>
      </c>
      <c r="J549" t="s">
        <v>52</v>
      </c>
      <c r="K549" t="s">
        <v>234</v>
      </c>
      <c r="L549">
        <f t="shared" si="8"/>
        <v>0.69565818016806669</v>
      </c>
    </row>
    <row r="550" spans="1:12" x14ac:dyDescent="0.2">
      <c r="A550">
        <v>576</v>
      </c>
      <c r="B550" t="s">
        <v>235</v>
      </c>
      <c r="C550" t="s">
        <v>11</v>
      </c>
      <c r="D550" s="1">
        <v>41274</v>
      </c>
      <c r="E550" s="2">
        <v>1365000000</v>
      </c>
      <c r="F550" t="s">
        <v>12</v>
      </c>
      <c r="G550" s="2">
        <v>921000000</v>
      </c>
      <c r="H550" t="s">
        <v>12</v>
      </c>
      <c r="I550" s="2">
        <v>471000000</v>
      </c>
      <c r="J550" t="s">
        <v>47</v>
      </c>
      <c r="K550" t="s">
        <v>236</v>
      </c>
      <c r="L550" t="e">
        <f t="shared" si="8"/>
        <v>#VALUE!</v>
      </c>
    </row>
    <row r="551" spans="1:12" x14ac:dyDescent="0.2">
      <c r="A551">
        <v>577</v>
      </c>
      <c r="B551" t="s">
        <v>235</v>
      </c>
      <c r="C551" t="s">
        <v>15</v>
      </c>
      <c r="D551" s="1">
        <v>41639</v>
      </c>
      <c r="E551" s="2">
        <v>1466000000</v>
      </c>
      <c r="F551" t="s">
        <v>12</v>
      </c>
      <c r="G551" s="2">
        <v>888000000</v>
      </c>
      <c r="H551" t="s">
        <v>12</v>
      </c>
      <c r="I551" s="2">
        <v>256000000</v>
      </c>
      <c r="J551" t="s">
        <v>47</v>
      </c>
      <c r="K551" t="s">
        <v>236</v>
      </c>
      <c r="L551" t="e">
        <f t="shared" si="8"/>
        <v>#VALUE!</v>
      </c>
    </row>
    <row r="552" spans="1:12" x14ac:dyDescent="0.2">
      <c r="A552">
        <v>578</v>
      </c>
      <c r="B552" t="s">
        <v>235</v>
      </c>
      <c r="C552" t="s">
        <v>16</v>
      </c>
      <c r="D552" s="1">
        <v>42004</v>
      </c>
      <c r="E552" s="2">
        <v>1665000000</v>
      </c>
      <c r="F552" t="s">
        <v>12</v>
      </c>
      <c r="G552" s="2">
        <v>958000000</v>
      </c>
      <c r="H552" t="s">
        <v>12</v>
      </c>
      <c r="I552" s="2">
        <v>136000000</v>
      </c>
      <c r="J552" t="s">
        <v>47</v>
      </c>
      <c r="K552" t="s">
        <v>236</v>
      </c>
      <c r="L552" t="e">
        <f t="shared" si="8"/>
        <v>#VALUE!</v>
      </c>
    </row>
    <row r="553" spans="1:12" x14ac:dyDescent="0.2">
      <c r="A553">
        <v>579</v>
      </c>
      <c r="B553" t="s">
        <v>235</v>
      </c>
      <c r="C553" t="s">
        <v>17</v>
      </c>
      <c r="D553" s="1">
        <v>42369</v>
      </c>
      <c r="E553" s="2">
        <v>1403000000</v>
      </c>
      <c r="F553" t="s">
        <v>12</v>
      </c>
      <c r="G553" s="2">
        <v>1048000000</v>
      </c>
      <c r="H553" t="s">
        <v>12</v>
      </c>
      <c r="I553" s="2">
        <v>61000000</v>
      </c>
      <c r="J553" t="s">
        <v>47</v>
      </c>
      <c r="K553" t="s">
        <v>236</v>
      </c>
      <c r="L553" t="e">
        <f t="shared" si="8"/>
        <v>#VALUE!</v>
      </c>
    </row>
    <row r="554" spans="1:12" x14ac:dyDescent="0.2">
      <c r="A554">
        <v>580</v>
      </c>
      <c r="B554" t="s">
        <v>237</v>
      </c>
      <c r="C554" t="s">
        <v>11</v>
      </c>
      <c r="D554" s="1">
        <v>41274</v>
      </c>
      <c r="E554" s="2">
        <v>16311000000</v>
      </c>
      <c r="F554" s="2">
        <v>11448000000</v>
      </c>
      <c r="G554" s="2">
        <v>2894000000</v>
      </c>
      <c r="H554" s="2">
        <v>439000000</v>
      </c>
      <c r="I554" t="s">
        <v>12</v>
      </c>
      <c r="J554" t="s">
        <v>13</v>
      </c>
      <c r="K554" t="s">
        <v>164</v>
      </c>
      <c r="L554">
        <f t="shared" si="8"/>
        <v>0.2981423579179695</v>
      </c>
    </row>
    <row r="555" spans="1:12" x14ac:dyDescent="0.2">
      <c r="A555">
        <v>581</v>
      </c>
      <c r="B555" t="s">
        <v>237</v>
      </c>
      <c r="C555" t="s">
        <v>15</v>
      </c>
      <c r="D555" s="1">
        <v>41639</v>
      </c>
      <c r="E555" s="2">
        <v>22046000000</v>
      </c>
      <c r="F555" s="2">
        <v>15369000000</v>
      </c>
      <c r="G555" s="2">
        <v>3886000000</v>
      </c>
      <c r="H555" s="2">
        <v>644000000</v>
      </c>
      <c r="I555" t="s">
        <v>12</v>
      </c>
      <c r="J555" t="s">
        <v>13</v>
      </c>
      <c r="K555" t="s">
        <v>164</v>
      </c>
      <c r="L555">
        <f t="shared" si="8"/>
        <v>0.3028667331942303</v>
      </c>
    </row>
    <row r="556" spans="1:12" x14ac:dyDescent="0.2">
      <c r="A556">
        <v>582</v>
      </c>
      <c r="B556" t="s">
        <v>237</v>
      </c>
      <c r="C556" t="s">
        <v>16</v>
      </c>
      <c r="D556" s="1">
        <v>42004</v>
      </c>
      <c r="E556" s="2">
        <v>22552000000</v>
      </c>
      <c r="F556" s="2">
        <v>15646000000</v>
      </c>
      <c r="G556" s="2">
        <v>3810000000</v>
      </c>
      <c r="H556" s="2">
        <v>647000000</v>
      </c>
      <c r="I556" t="s">
        <v>12</v>
      </c>
      <c r="J556" t="s">
        <v>13</v>
      </c>
      <c r="K556" t="s">
        <v>164</v>
      </c>
      <c r="L556">
        <f t="shared" si="8"/>
        <v>0.30622561191912023</v>
      </c>
    </row>
    <row r="557" spans="1:12" x14ac:dyDescent="0.2">
      <c r="A557">
        <v>583</v>
      </c>
      <c r="B557" t="s">
        <v>237</v>
      </c>
      <c r="C557" t="s">
        <v>17</v>
      </c>
      <c r="D557" s="1">
        <v>42369</v>
      </c>
      <c r="E557" s="2">
        <v>20855000000</v>
      </c>
      <c r="F557" s="2">
        <v>14292000000</v>
      </c>
      <c r="G557" s="2">
        <v>3596000000</v>
      </c>
      <c r="H557" s="2">
        <v>625000000</v>
      </c>
      <c r="I557" t="s">
        <v>12</v>
      </c>
      <c r="J557" t="s">
        <v>13</v>
      </c>
      <c r="K557" t="s">
        <v>164</v>
      </c>
      <c r="L557">
        <f t="shared" si="8"/>
        <v>0.31469671541596744</v>
      </c>
    </row>
    <row r="558" spans="1:12" x14ac:dyDescent="0.2">
      <c r="A558">
        <v>584</v>
      </c>
      <c r="B558" t="s">
        <v>238</v>
      </c>
      <c r="C558" t="s">
        <v>11</v>
      </c>
      <c r="D558" s="1">
        <v>41274</v>
      </c>
      <c r="E558" s="2">
        <v>10302079000</v>
      </c>
      <c r="F558" s="2">
        <v>6583627000</v>
      </c>
      <c r="G558" s="2">
        <v>917162000</v>
      </c>
      <c r="H558" t="s">
        <v>12</v>
      </c>
      <c r="I558" s="2">
        <v>1144585000</v>
      </c>
      <c r="J558" t="s">
        <v>42</v>
      </c>
      <c r="K558" t="s">
        <v>45</v>
      </c>
      <c r="L558">
        <f t="shared" si="8"/>
        <v>0.36094190308577523</v>
      </c>
    </row>
    <row r="559" spans="1:12" x14ac:dyDescent="0.2">
      <c r="A559">
        <v>585</v>
      </c>
      <c r="B559" t="s">
        <v>238</v>
      </c>
      <c r="C559" t="s">
        <v>15</v>
      </c>
      <c r="D559" s="1">
        <v>41639</v>
      </c>
      <c r="E559" s="2">
        <v>11390947000</v>
      </c>
      <c r="F559" s="2">
        <v>7588885000</v>
      </c>
      <c r="G559" s="2">
        <v>888051000</v>
      </c>
      <c r="H559" t="s">
        <v>12</v>
      </c>
      <c r="I559" s="2">
        <v>1261044000</v>
      </c>
      <c r="J559" t="s">
        <v>42</v>
      </c>
      <c r="K559" t="s">
        <v>45</v>
      </c>
      <c r="L559">
        <f t="shared" si="8"/>
        <v>0.33377927225892634</v>
      </c>
    </row>
    <row r="560" spans="1:12" x14ac:dyDescent="0.2">
      <c r="A560">
        <v>586</v>
      </c>
      <c r="B560" t="s">
        <v>238</v>
      </c>
      <c r="C560" t="s">
        <v>16</v>
      </c>
      <c r="D560" s="1">
        <v>42004</v>
      </c>
      <c r="E560" s="2">
        <v>12494921000</v>
      </c>
      <c r="F560" s="2">
        <v>8126187000</v>
      </c>
      <c r="G560" s="2">
        <v>863455000</v>
      </c>
      <c r="H560" t="s">
        <v>12</v>
      </c>
      <c r="I560" s="2">
        <v>1318638000</v>
      </c>
      <c r="J560" t="s">
        <v>42</v>
      </c>
      <c r="K560" t="s">
        <v>45</v>
      </c>
      <c r="L560">
        <f t="shared" si="8"/>
        <v>0.34964078604418547</v>
      </c>
    </row>
    <row r="561" spans="1:12" x14ac:dyDescent="0.2">
      <c r="A561">
        <v>587</v>
      </c>
      <c r="B561" t="s">
        <v>238</v>
      </c>
      <c r="C561" t="s">
        <v>17</v>
      </c>
      <c r="D561" s="1">
        <v>42369</v>
      </c>
      <c r="E561" s="2">
        <v>11513251000</v>
      </c>
      <c r="F561" s="2">
        <v>7449273000</v>
      </c>
      <c r="G561" s="2">
        <v>1074998000</v>
      </c>
      <c r="H561" t="s">
        <v>12</v>
      </c>
      <c r="I561" s="2">
        <v>1337276000</v>
      </c>
      <c r="J561" t="s">
        <v>42</v>
      </c>
      <c r="K561" t="s">
        <v>45</v>
      </c>
      <c r="L561">
        <f t="shared" si="8"/>
        <v>0.35298266319391458</v>
      </c>
    </row>
    <row r="562" spans="1:12" x14ac:dyDescent="0.2">
      <c r="A562">
        <v>588</v>
      </c>
      <c r="B562" t="s">
        <v>239</v>
      </c>
      <c r="C562" t="s">
        <v>11</v>
      </c>
      <c r="D562" s="1">
        <v>41274</v>
      </c>
      <c r="E562" s="2">
        <v>1899600000</v>
      </c>
      <c r="F562" s="2">
        <v>491000000</v>
      </c>
      <c r="G562" s="2">
        <v>697400000</v>
      </c>
      <c r="H562" s="2">
        <v>291300000</v>
      </c>
      <c r="I562" t="s">
        <v>12</v>
      </c>
      <c r="J562" t="s">
        <v>25</v>
      </c>
      <c r="K562" t="s">
        <v>30</v>
      </c>
      <c r="L562">
        <f t="shared" si="8"/>
        <v>0.74152453148031161</v>
      </c>
    </row>
    <row r="563" spans="1:12" x14ac:dyDescent="0.2">
      <c r="A563">
        <v>589</v>
      </c>
      <c r="B563" t="s">
        <v>239</v>
      </c>
      <c r="C563" t="s">
        <v>15</v>
      </c>
      <c r="D563" s="1">
        <v>41639</v>
      </c>
      <c r="E563" s="2">
        <v>2045500000</v>
      </c>
      <c r="F563" s="2">
        <v>516600000</v>
      </c>
      <c r="G563" s="2">
        <v>749700000</v>
      </c>
      <c r="H563" s="2">
        <v>323000000</v>
      </c>
      <c r="I563" t="s">
        <v>12</v>
      </c>
      <c r="J563" t="s">
        <v>25</v>
      </c>
      <c r="K563" t="s">
        <v>30</v>
      </c>
      <c r="L563">
        <f t="shared" si="8"/>
        <v>0.74744561231972617</v>
      </c>
    </row>
    <row r="564" spans="1:12" x14ac:dyDescent="0.2">
      <c r="A564">
        <v>590</v>
      </c>
      <c r="B564" t="s">
        <v>239</v>
      </c>
      <c r="C564" t="s">
        <v>16</v>
      </c>
      <c r="D564" s="1">
        <v>42004</v>
      </c>
      <c r="E564" s="2">
        <v>2322900000</v>
      </c>
      <c r="F564" s="2">
        <v>625600000</v>
      </c>
      <c r="G564" s="2">
        <v>928700000</v>
      </c>
      <c r="H564" s="2">
        <v>346500000</v>
      </c>
      <c r="I564" t="s">
        <v>12</v>
      </c>
      <c r="J564" t="s">
        <v>25</v>
      </c>
      <c r="K564" t="s">
        <v>30</v>
      </c>
      <c r="L564">
        <f t="shared" si="8"/>
        <v>0.73068147574152997</v>
      </c>
    </row>
    <row r="565" spans="1:12" x14ac:dyDescent="0.2">
      <c r="A565">
        <v>591</v>
      </c>
      <c r="B565" t="s">
        <v>239</v>
      </c>
      <c r="C565" t="s">
        <v>17</v>
      </c>
      <c r="D565" s="1">
        <v>42369</v>
      </c>
      <c r="E565" s="2">
        <v>2493700000</v>
      </c>
      <c r="F565" s="2">
        <v>617200000</v>
      </c>
      <c r="G565" s="2">
        <v>850700000</v>
      </c>
      <c r="H565" s="2">
        <v>383100000</v>
      </c>
      <c r="I565" t="s">
        <v>12</v>
      </c>
      <c r="J565" t="s">
        <v>25</v>
      </c>
      <c r="K565" t="s">
        <v>30</v>
      </c>
      <c r="L565">
        <f t="shared" si="8"/>
        <v>0.75249629065244417</v>
      </c>
    </row>
    <row r="566" spans="1:12" x14ac:dyDescent="0.2">
      <c r="A566">
        <v>592</v>
      </c>
      <c r="B566" t="s">
        <v>240</v>
      </c>
      <c r="C566" t="s">
        <v>11</v>
      </c>
      <c r="D566" s="1">
        <v>41639</v>
      </c>
      <c r="E566" s="2">
        <v>24888000000</v>
      </c>
      <c r="F566" s="2">
        <v>17994000000</v>
      </c>
      <c r="G566" s="2">
        <v>1095000000</v>
      </c>
      <c r="H566" t="s">
        <v>12</v>
      </c>
      <c r="I566" s="2">
        <v>2153000000</v>
      </c>
      <c r="J566" t="s">
        <v>42</v>
      </c>
      <c r="K566" t="s">
        <v>43</v>
      </c>
      <c r="L566">
        <f t="shared" si="8"/>
        <v>0.27700096432015431</v>
      </c>
    </row>
    <row r="567" spans="1:12" x14ac:dyDescent="0.2">
      <c r="A567">
        <v>593</v>
      </c>
      <c r="B567" t="s">
        <v>240</v>
      </c>
      <c r="C567" t="s">
        <v>15</v>
      </c>
      <c r="D567" s="1">
        <v>42004</v>
      </c>
      <c r="E567" s="2">
        <v>27429000000</v>
      </c>
      <c r="F567" s="2">
        <v>21571000000</v>
      </c>
      <c r="G567" s="2">
        <v>1154000000</v>
      </c>
      <c r="H567" t="s">
        <v>12</v>
      </c>
      <c r="I567" s="2">
        <v>2314000000</v>
      </c>
      <c r="J567" t="s">
        <v>42</v>
      </c>
      <c r="K567" t="s">
        <v>43</v>
      </c>
      <c r="L567">
        <f t="shared" si="8"/>
        <v>0.21356957964198475</v>
      </c>
    </row>
    <row r="568" spans="1:12" x14ac:dyDescent="0.2">
      <c r="A568">
        <v>594</v>
      </c>
      <c r="B568" t="s">
        <v>240</v>
      </c>
      <c r="C568" t="s">
        <v>16</v>
      </c>
      <c r="D568" s="1">
        <v>42369</v>
      </c>
      <c r="E568" s="2">
        <v>29447000000</v>
      </c>
      <c r="F568" s="2">
        <v>21406000000</v>
      </c>
      <c r="G568" s="2">
        <v>1200000000</v>
      </c>
      <c r="H568" t="s">
        <v>12</v>
      </c>
      <c r="I568" s="2">
        <v>2450000000</v>
      </c>
      <c r="J568" t="s">
        <v>42</v>
      </c>
      <c r="K568" t="s">
        <v>43</v>
      </c>
      <c r="L568">
        <f t="shared" si="8"/>
        <v>0.27306686589465823</v>
      </c>
    </row>
    <row r="569" spans="1:12" x14ac:dyDescent="0.2">
      <c r="A569">
        <v>595</v>
      </c>
      <c r="B569" t="s">
        <v>240</v>
      </c>
      <c r="C569" t="s">
        <v>17</v>
      </c>
      <c r="D569" s="1">
        <v>42735</v>
      </c>
      <c r="E569" s="2">
        <v>31360000000</v>
      </c>
      <c r="F569" s="2">
        <v>22688000000</v>
      </c>
      <c r="G569" s="2">
        <v>1576000000</v>
      </c>
      <c r="H569" t="s">
        <v>12</v>
      </c>
      <c r="I569" s="2">
        <v>3936000000</v>
      </c>
      <c r="J569" t="s">
        <v>42</v>
      </c>
      <c r="K569" t="s">
        <v>43</v>
      </c>
      <c r="L569">
        <f t="shared" si="8"/>
        <v>0.27653061224489794</v>
      </c>
    </row>
    <row r="570" spans="1:12" x14ac:dyDescent="0.2">
      <c r="A570">
        <v>596</v>
      </c>
      <c r="B570" t="s">
        <v>241</v>
      </c>
      <c r="C570" t="s">
        <v>11</v>
      </c>
      <c r="D570" s="1">
        <v>41274</v>
      </c>
      <c r="E570" s="2">
        <v>5992215000</v>
      </c>
      <c r="F570" s="2">
        <v>4156845000</v>
      </c>
      <c r="G570" s="2">
        <v>1264632000</v>
      </c>
      <c r="H570" t="s">
        <v>12</v>
      </c>
      <c r="I570" s="2">
        <v>39940000</v>
      </c>
      <c r="J570" t="s">
        <v>13</v>
      </c>
      <c r="K570" t="s">
        <v>146</v>
      </c>
      <c r="L570">
        <f t="shared" si="8"/>
        <v>0.30629241440769395</v>
      </c>
    </row>
    <row r="571" spans="1:12" x14ac:dyDescent="0.2">
      <c r="A571">
        <v>597</v>
      </c>
      <c r="B571" t="s">
        <v>241</v>
      </c>
      <c r="C571" t="s">
        <v>15</v>
      </c>
      <c r="D571" s="1">
        <v>41639</v>
      </c>
      <c r="E571" s="2">
        <v>6080257000</v>
      </c>
      <c r="F571" s="2">
        <v>4197404000</v>
      </c>
      <c r="G571" s="2">
        <v>1282709000</v>
      </c>
      <c r="H571" t="s">
        <v>12</v>
      </c>
      <c r="I571" s="2">
        <v>48071000</v>
      </c>
      <c r="J571" t="s">
        <v>13</v>
      </c>
      <c r="K571" t="s">
        <v>146</v>
      </c>
      <c r="L571">
        <f t="shared" si="8"/>
        <v>0.309666680207761</v>
      </c>
    </row>
    <row r="572" spans="1:12" x14ac:dyDescent="0.2">
      <c r="A572">
        <v>598</v>
      </c>
      <c r="B572" t="s">
        <v>241</v>
      </c>
      <c r="C572" t="s">
        <v>16</v>
      </c>
      <c r="D572" s="1">
        <v>42004</v>
      </c>
      <c r="E572" s="2">
        <v>6564721000</v>
      </c>
      <c r="F572" s="2">
        <v>4583294000</v>
      </c>
      <c r="G572" s="2">
        <v>1337487000</v>
      </c>
      <c r="H572" t="s">
        <v>12</v>
      </c>
      <c r="I572" s="2">
        <v>49292000</v>
      </c>
      <c r="J572" t="s">
        <v>13</v>
      </c>
      <c r="K572" t="s">
        <v>146</v>
      </c>
      <c r="L572">
        <f t="shared" si="8"/>
        <v>0.3018295827042764</v>
      </c>
    </row>
    <row r="573" spans="1:12" x14ac:dyDescent="0.2">
      <c r="A573">
        <v>599</v>
      </c>
      <c r="B573" t="s">
        <v>241</v>
      </c>
      <c r="C573" t="s">
        <v>17</v>
      </c>
      <c r="D573" s="1">
        <v>42369</v>
      </c>
      <c r="E573" s="2">
        <v>6616632000</v>
      </c>
      <c r="F573" s="2">
        <v>4428855000</v>
      </c>
      <c r="G573" s="2">
        <v>1420281000</v>
      </c>
      <c r="H573" t="s">
        <v>12</v>
      </c>
      <c r="I573" s="2">
        <v>46012000</v>
      </c>
      <c r="J573" t="s">
        <v>13</v>
      </c>
      <c r="K573" t="s">
        <v>146</v>
      </c>
      <c r="L573">
        <f t="shared" si="8"/>
        <v>0.33064813034788698</v>
      </c>
    </row>
    <row r="574" spans="1:12" x14ac:dyDescent="0.2">
      <c r="A574">
        <v>600</v>
      </c>
      <c r="B574" t="s">
        <v>242</v>
      </c>
      <c r="C574" t="s">
        <v>11</v>
      </c>
      <c r="D574" s="1">
        <v>41639</v>
      </c>
      <c r="E574" s="2">
        <v>4771259000</v>
      </c>
      <c r="F574" s="2">
        <v>1038034000</v>
      </c>
      <c r="G574" s="2">
        <v>3151043000</v>
      </c>
      <c r="H574" t="s">
        <v>12</v>
      </c>
      <c r="I574" s="2">
        <v>71731000</v>
      </c>
      <c r="J574" t="s">
        <v>19</v>
      </c>
      <c r="K574" t="s">
        <v>77</v>
      </c>
      <c r="L574">
        <f t="shared" si="8"/>
        <v>0.78244023223220538</v>
      </c>
    </row>
    <row r="575" spans="1:12" x14ac:dyDescent="0.2">
      <c r="A575">
        <v>601</v>
      </c>
      <c r="B575" t="s">
        <v>242</v>
      </c>
      <c r="C575" t="s">
        <v>15</v>
      </c>
      <c r="D575" s="1">
        <v>42004</v>
      </c>
      <c r="E575" s="2">
        <v>5763485000</v>
      </c>
      <c r="F575" s="2">
        <v>1179081000</v>
      </c>
      <c r="G575" s="2">
        <v>3919856000</v>
      </c>
      <c r="H575" t="s">
        <v>12</v>
      </c>
      <c r="I575" s="2">
        <v>76773000</v>
      </c>
      <c r="J575" t="s">
        <v>19</v>
      </c>
      <c r="K575" t="s">
        <v>77</v>
      </c>
      <c r="L575">
        <f t="shared" si="8"/>
        <v>0.79542221416382619</v>
      </c>
    </row>
    <row r="576" spans="1:12" x14ac:dyDescent="0.2">
      <c r="A576">
        <v>602</v>
      </c>
      <c r="B576" t="s">
        <v>242</v>
      </c>
      <c r="C576" t="s">
        <v>16</v>
      </c>
      <c r="D576" s="1">
        <v>42369</v>
      </c>
      <c r="E576" s="2">
        <v>6672317000</v>
      </c>
      <c r="F576" s="2">
        <v>1309559000</v>
      </c>
      <c r="G576" s="2">
        <v>4785243000</v>
      </c>
      <c r="H576" t="s">
        <v>12</v>
      </c>
      <c r="I576" s="2">
        <v>156458000</v>
      </c>
      <c r="J576" t="s">
        <v>19</v>
      </c>
      <c r="K576" t="s">
        <v>77</v>
      </c>
      <c r="L576">
        <f t="shared" si="8"/>
        <v>0.80373249652257228</v>
      </c>
    </row>
    <row r="577" spans="1:12" x14ac:dyDescent="0.2">
      <c r="A577">
        <v>603</v>
      </c>
      <c r="B577" t="s">
        <v>242</v>
      </c>
      <c r="C577" t="s">
        <v>17</v>
      </c>
      <c r="D577" s="1">
        <v>42735</v>
      </c>
      <c r="E577" s="2">
        <v>8773564000</v>
      </c>
      <c r="F577" s="2">
        <v>1596698000</v>
      </c>
      <c r="G577" s="2">
        <v>6280728000</v>
      </c>
      <c r="H577" t="s">
        <v>12</v>
      </c>
      <c r="I577" s="2">
        <v>317141000</v>
      </c>
      <c r="J577" t="s">
        <v>19</v>
      </c>
      <c r="K577" t="s">
        <v>77</v>
      </c>
      <c r="L577">
        <f t="shared" si="8"/>
        <v>0.81801033194719963</v>
      </c>
    </row>
    <row r="578" spans="1:12" x14ac:dyDescent="0.2">
      <c r="A578">
        <v>604</v>
      </c>
      <c r="B578" t="s">
        <v>243</v>
      </c>
      <c r="C578" t="s">
        <v>11</v>
      </c>
      <c r="D578" s="1">
        <v>41274</v>
      </c>
      <c r="E578" s="2">
        <v>409396000</v>
      </c>
      <c r="F578" s="2">
        <v>114028000</v>
      </c>
      <c r="G578" s="2">
        <v>58323000</v>
      </c>
      <c r="H578" t="s">
        <v>12</v>
      </c>
      <c r="I578" s="2">
        <v>74453000</v>
      </c>
      <c r="J578" t="s">
        <v>52</v>
      </c>
      <c r="K578" t="s">
        <v>75</v>
      </c>
      <c r="L578">
        <f t="shared" si="8"/>
        <v>0.72147260842802563</v>
      </c>
    </row>
    <row r="579" spans="1:12" x14ac:dyDescent="0.2">
      <c r="A579">
        <v>605</v>
      </c>
      <c r="B579" t="s">
        <v>243</v>
      </c>
      <c r="C579" t="s">
        <v>15</v>
      </c>
      <c r="D579" s="1">
        <v>41639</v>
      </c>
      <c r="E579" s="2">
        <v>520613000</v>
      </c>
      <c r="F579" s="2">
        <v>140012000</v>
      </c>
      <c r="G579" s="2">
        <v>63268000</v>
      </c>
      <c r="H579" t="s">
        <v>12</v>
      </c>
      <c r="I579" s="2">
        <v>95232000</v>
      </c>
      <c r="J579" t="s">
        <v>52</v>
      </c>
      <c r="K579" t="s">
        <v>75</v>
      </c>
      <c r="L579">
        <f t="shared" ref="L579:L642" si="9">1-F579/E579</f>
        <v>0.7310631889714625</v>
      </c>
    </row>
    <row r="580" spans="1:12" x14ac:dyDescent="0.2">
      <c r="A580">
        <v>606</v>
      </c>
      <c r="B580" t="s">
        <v>243</v>
      </c>
      <c r="C580" t="s">
        <v>16</v>
      </c>
      <c r="D580" s="1">
        <v>42004</v>
      </c>
      <c r="E580" s="2">
        <v>647155000</v>
      </c>
      <c r="F580" s="2">
        <v>172416000</v>
      </c>
      <c r="G580" s="2">
        <v>71369000</v>
      </c>
      <c r="H580" t="s">
        <v>12</v>
      </c>
      <c r="I580" s="2">
        <v>115076000</v>
      </c>
      <c r="J580" t="s">
        <v>52</v>
      </c>
      <c r="K580" t="s">
        <v>75</v>
      </c>
      <c r="L580">
        <f t="shared" si="9"/>
        <v>0.73357850901252397</v>
      </c>
    </row>
    <row r="581" spans="1:12" x14ac:dyDescent="0.2">
      <c r="A581">
        <v>607</v>
      </c>
      <c r="B581" t="s">
        <v>243</v>
      </c>
      <c r="C581" t="s">
        <v>17</v>
      </c>
      <c r="D581" s="1">
        <v>42369</v>
      </c>
      <c r="E581" s="2">
        <v>782270000</v>
      </c>
      <c r="F581" s="2">
        <v>203965000</v>
      </c>
      <c r="G581" s="2">
        <v>80791000</v>
      </c>
      <c r="H581" t="s">
        <v>12</v>
      </c>
      <c r="I581" s="2">
        <v>133457000</v>
      </c>
      <c r="J581" t="s">
        <v>52</v>
      </c>
      <c r="K581" t="s">
        <v>75</v>
      </c>
      <c r="L581">
        <f t="shared" si="9"/>
        <v>0.73926521533485878</v>
      </c>
    </row>
    <row r="582" spans="1:12" x14ac:dyDescent="0.2">
      <c r="A582">
        <v>608</v>
      </c>
      <c r="B582" t="s">
        <v>244</v>
      </c>
      <c r="C582" t="s">
        <v>11</v>
      </c>
      <c r="D582" s="1">
        <v>41639</v>
      </c>
      <c r="E582" s="2">
        <v>146917000000</v>
      </c>
      <c r="F582" s="2">
        <v>123050000000</v>
      </c>
      <c r="G582" s="2">
        <v>10850000000</v>
      </c>
      <c r="H582" t="s">
        <v>12</v>
      </c>
      <c r="I582" t="s">
        <v>12</v>
      </c>
      <c r="J582" t="s">
        <v>19</v>
      </c>
      <c r="K582" t="s">
        <v>245</v>
      </c>
      <c r="L582">
        <f t="shared" si="9"/>
        <v>0.16245226896819287</v>
      </c>
    </row>
    <row r="583" spans="1:12" x14ac:dyDescent="0.2">
      <c r="A583">
        <v>609</v>
      </c>
      <c r="B583" t="s">
        <v>244</v>
      </c>
      <c r="C583" t="s">
        <v>15</v>
      </c>
      <c r="D583" s="1">
        <v>42004</v>
      </c>
      <c r="E583" s="2">
        <v>144077000000</v>
      </c>
      <c r="F583" s="2">
        <v>131903000000</v>
      </c>
      <c r="G583" s="2">
        <v>11842000000</v>
      </c>
      <c r="H583" t="s">
        <v>12</v>
      </c>
      <c r="I583" t="s">
        <v>12</v>
      </c>
      <c r="J583" t="s">
        <v>19</v>
      </c>
      <c r="K583" t="s">
        <v>245</v>
      </c>
      <c r="L583">
        <f t="shared" si="9"/>
        <v>8.4496484518694848E-2</v>
      </c>
    </row>
    <row r="584" spans="1:12" x14ac:dyDescent="0.2">
      <c r="A584">
        <v>610</v>
      </c>
      <c r="B584" t="s">
        <v>244</v>
      </c>
      <c r="C584" t="s">
        <v>16</v>
      </c>
      <c r="D584" s="1">
        <v>42369</v>
      </c>
      <c r="E584" s="2">
        <v>149558000000</v>
      </c>
      <c r="F584" s="2">
        <v>131409000000</v>
      </c>
      <c r="G584" s="2">
        <v>10502000000</v>
      </c>
      <c r="H584" t="s">
        <v>12</v>
      </c>
      <c r="I584" t="s">
        <v>12</v>
      </c>
      <c r="J584" t="s">
        <v>19</v>
      </c>
      <c r="K584" t="s">
        <v>245</v>
      </c>
      <c r="L584">
        <f t="shared" si="9"/>
        <v>0.1213509140266652</v>
      </c>
    </row>
    <row r="585" spans="1:12" x14ac:dyDescent="0.2">
      <c r="A585">
        <v>611</v>
      </c>
      <c r="B585" t="s">
        <v>244</v>
      </c>
      <c r="C585" t="s">
        <v>17</v>
      </c>
      <c r="D585" s="1">
        <v>42735</v>
      </c>
      <c r="E585" s="2">
        <v>151800000000</v>
      </c>
      <c r="F585" s="2">
        <v>135488000000</v>
      </c>
      <c r="G585" s="2">
        <v>12196000000</v>
      </c>
      <c r="H585" t="s">
        <v>12</v>
      </c>
      <c r="I585" t="s">
        <v>12</v>
      </c>
      <c r="J585" t="s">
        <v>19</v>
      </c>
      <c r="K585" t="s">
        <v>245</v>
      </c>
      <c r="L585">
        <f t="shared" si="9"/>
        <v>0.10745718050065878</v>
      </c>
    </row>
    <row r="586" spans="1:12" x14ac:dyDescent="0.2">
      <c r="A586">
        <v>612</v>
      </c>
      <c r="B586" t="s">
        <v>246</v>
      </c>
      <c r="C586" t="s">
        <v>11</v>
      </c>
      <c r="D586" s="1">
        <v>41639</v>
      </c>
      <c r="E586" s="2">
        <v>3326106000</v>
      </c>
      <c r="F586" s="2">
        <v>1606661000</v>
      </c>
      <c r="G586" s="2">
        <v>1007431000</v>
      </c>
      <c r="H586" t="s">
        <v>12</v>
      </c>
      <c r="I586" t="s">
        <v>12</v>
      </c>
      <c r="J586" t="s">
        <v>13</v>
      </c>
      <c r="K586" t="s">
        <v>64</v>
      </c>
      <c r="L586">
        <f t="shared" si="9"/>
        <v>0.51695436044431542</v>
      </c>
    </row>
    <row r="587" spans="1:12" x14ac:dyDescent="0.2">
      <c r="A587">
        <v>613</v>
      </c>
      <c r="B587" t="s">
        <v>246</v>
      </c>
      <c r="C587" t="s">
        <v>15</v>
      </c>
      <c r="D587" s="1">
        <v>42004</v>
      </c>
      <c r="E587" s="2">
        <v>3733507000</v>
      </c>
      <c r="F587" s="2">
        <v>1836105000</v>
      </c>
      <c r="G587" s="2">
        <v>1110776000</v>
      </c>
      <c r="H587" t="s">
        <v>12</v>
      </c>
      <c r="I587" t="s">
        <v>12</v>
      </c>
      <c r="J587" t="s">
        <v>13</v>
      </c>
      <c r="K587" t="s">
        <v>64</v>
      </c>
      <c r="L587">
        <f t="shared" si="9"/>
        <v>0.50820903777601067</v>
      </c>
    </row>
    <row r="588" spans="1:12" x14ac:dyDescent="0.2">
      <c r="A588">
        <v>614</v>
      </c>
      <c r="B588" t="s">
        <v>246</v>
      </c>
      <c r="C588" t="s">
        <v>16</v>
      </c>
      <c r="D588" s="1">
        <v>42369</v>
      </c>
      <c r="E588" s="2">
        <v>3869187000</v>
      </c>
      <c r="F588" s="2">
        <v>1920253000</v>
      </c>
      <c r="G588" s="2">
        <v>1121590000</v>
      </c>
      <c r="H588" t="s">
        <v>12</v>
      </c>
      <c r="I588" t="s">
        <v>12</v>
      </c>
      <c r="J588" t="s">
        <v>13</v>
      </c>
      <c r="K588" t="s">
        <v>64</v>
      </c>
      <c r="L588">
        <f t="shared" si="9"/>
        <v>0.50370633417304456</v>
      </c>
    </row>
    <row r="589" spans="1:12" x14ac:dyDescent="0.2">
      <c r="A589">
        <v>615</v>
      </c>
      <c r="B589" t="s">
        <v>246</v>
      </c>
      <c r="C589" t="s">
        <v>17</v>
      </c>
      <c r="D589" s="1">
        <v>42735</v>
      </c>
      <c r="E589" s="2">
        <v>3962036000</v>
      </c>
      <c r="F589" s="2">
        <v>1997259000</v>
      </c>
      <c r="G589" s="2">
        <v>1169470000</v>
      </c>
      <c r="H589" t="s">
        <v>12</v>
      </c>
      <c r="I589" t="s">
        <v>12</v>
      </c>
      <c r="J589" t="s">
        <v>13</v>
      </c>
      <c r="K589" t="s">
        <v>64</v>
      </c>
      <c r="L589">
        <f t="shared" si="9"/>
        <v>0.49590084491912745</v>
      </c>
    </row>
    <row r="590" spans="1:12" x14ac:dyDescent="0.2">
      <c r="A590">
        <v>616</v>
      </c>
      <c r="B590" t="s">
        <v>247</v>
      </c>
      <c r="C590" t="s">
        <v>11</v>
      </c>
      <c r="D590" s="1">
        <v>41639</v>
      </c>
      <c r="E590" s="2">
        <v>7872000000</v>
      </c>
      <c r="F590" s="2">
        <v>1875000000</v>
      </c>
      <c r="G590" s="2">
        <v>1778000000</v>
      </c>
      <c r="H590" s="2">
        <v>1415000000</v>
      </c>
      <c r="I590" t="s">
        <v>12</v>
      </c>
      <c r="J590" t="s">
        <v>22</v>
      </c>
      <c r="K590" t="s">
        <v>57</v>
      </c>
      <c r="L590">
        <f t="shared" si="9"/>
        <v>0.76181402439024393</v>
      </c>
    </row>
    <row r="591" spans="1:12" x14ac:dyDescent="0.2">
      <c r="A591">
        <v>617</v>
      </c>
      <c r="B591" t="s">
        <v>247</v>
      </c>
      <c r="C591" t="s">
        <v>15</v>
      </c>
      <c r="D591" s="1">
        <v>42004</v>
      </c>
      <c r="E591" s="2">
        <v>12466000000</v>
      </c>
      <c r="F591" s="2">
        <v>2153000000</v>
      </c>
      <c r="G591" s="2">
        <v>2653000000</v>
      </c>
      <c r="H591" s="2">
        <v>2666000000</v>
      </c>
      <c r="I591" t="s">
        <v>12</v>
      </c>
      <c r="J591" t="s">
        <v>22</v>
      </c>
      <c r="K591" t="s">
        <v>57</v>
      </c>
      <c r="L591">
        <f t="shared" si="9"/>
        <v>0.82729022942403341</v>
      </c>
    </row>
    <row r="592" spans="1:12" x14ac:dyDescent="0.2">
      <c r="A592">
        <v>618</v>
      </c>
      <c r="B592" t="s">
        <v>247</v>
      </c>
      <c r="C592" t="s">
        <v>16</v>
      </c>
      <c r="D592" s="1">
        <v>42369</v>
      </c>
      <c r="E592" s="2">
        <v>17928000000</v>
      </c>
      <c r="F592" s="2">
        <v>2867000000</v>
      </c>
      <c r="G592" s="2">
        <v>4020000000</v>
      </c>
      <c r="H592" s="2">
        <v>4816000000</v>
      </c>
      <c r="I592" t="s">
        <v>12</v>
      </c>
      <c r="J592" t="s">
        <v>22</v>
      </c>
      <c r="K592" t="s">
        <v>57</v>
      </c>
      <c r="L592">
        <f t="shared" si="9"/>
        <v>0.84008255243194996</v>
      </c>
    </row>
    <row r="593" spans="1:12" x14ac:dyDescent="0.2">
      <c r="A593">
        <v>619</v>
      </c>
      <c r="B593" t="s">
        <v>247</v>
      </c>
      <c r="C593" t="s">
        <v>17</v>
      </c>
      <c r="D593" s="1">
        <v>42735</v>
      </c>
      <c r="E593" s="2">
        <v>27638000000</v>
      </c>
      <c r="F593" s="2">
        <v>3789000000</v>
      </c>
      <c r="G593" s="2">
        <v>5503000000</v>
      </c>
      <c r="H593" s="2">
        <v>5919000000</v>
      </c>
      <c r="I593" t="s">
        <v>12</v>
      </c>
      <c r="J593" t="s">
        <v>22</v>
      </c>
      <c r="K593" t="s">
        <v>57</v>
      </c>
      <c r="L593">
        <f t="shared" si="9"/>
        <v>0.86290614371517482</v>
      </c>
    </row>
    <row r="594" spans="1:12" x14ac:dyDescent="0.2">
      <c r="A594">
        <v>620</v>
      </c>
      <c r="B594" t="s">
        <v>248</v>
      </c>
      <c r="C594" t="s">
        <v>11</v>
      </c>
      <c r="D594" s="1">
        <v>41274</v>
      </c>
      <c r="E594" s="2">
        <v>3134800000</v>
      </c>
      <c r="F594" s="2">
        <v>2093200000</v>
      </c>
      <c r="G594" s="2">
        <v>873100000</v>
      </c>
      <c r="H594" t="s">
        <v>12</v>
      </c>
      <c r="I594" s="2">
        <v>7400000</v>
      </c>
      <c r="J594" t="s">
        <v>13</v>
      </c>
      <c r="K594" t="s">
        <v>64</v>
      </c>
      <c r="L594">
        <f t="shared" si="9"/>
        <v>0.33227000127599848</v>
      </c>
    </row>
    <row r="595" spans="1:12" x14ac:dyDescent="0.2">
      <c r="A595">
        <v>621</v>
      </c>
      <c r="B595" t="s">
        <v>248</v>
      </c>
      <c r="C595" t="s">
        <v>15</v>
      </c>
      <c r="D595" s="1">
        <v>41639</v>
      </c>
      <c r="E595" s="2">
        <v>3703600000</v>
      </c>
      <c r="F595" s="2">
        <v>2408500000</v>
      </c>
      <c r="G595" s="2">
        <v>938700000</v>
      </c>
      <c r="H595" t="s">
        <v>12</v>
      </c>
      <c r="I595" s="2">
        <v>9400000</v>
      </c>
      <c r="J595" t="s">
        <v>13</v>
      </c>
      <c r="K595" t="s">
        <v>64</v>
      </c>
      <c r="L595">
        <f t="shared" si="9"/>
        <v>0.34968679123015445</v>
      </c>
    </row>
    <row r="596" spans="1:12" x14ac:dyDescent="0.2">
      <c r="A596">
        <v>622</v>
      </c>
      <c r="B596" t="s">
        <v>248</v>
      </c>
      <c r="C596" t="s">
        <v>16</v>
      </c>
      <c r="D596" s="1">
        <v>42004</v>
      </c>
      <c r="E596" s="2">
        <v>4013600000</v>
      </c>
      <c r="F596" s="2">
        <v>2646700000</v>
      </c>
      <c r="G596" s="2">
        <v>943300000</v>
      </c>
      <c r="H596" t="s">
        <v>12</v>
      </c>
      <c r="I596" s="2">
        <v>13100000</v>
      </c>
      <c r="J596" t="s">
        <v>13</v>
      </c>
      <c r="K596" t="s">
        <v>64</v>
      </c>
      <c r="L596">
        <f t="shared" si="9"/>
        <v>0.34056707195535185</v>
      </c>
    </row>
    <row r="597" spans="1:12" x14ac:dyDescent="0.2">
      <c r="A597">
        <v>623</v>
      </c>
      <c r="B597" t="s">
        <v>248</v>
      </c>
      <c r="C597" t="s">
        <v>17</v>
      </c>
      <c r="D597" s="1">
        <v>42369</v>
      </c>
      <c r="E597" s="2">
        <v>4579400000</v>
      </c>
      <c r="F597" s="2">
        <v>2997500000</v>
      </c>
      <c r="G597" s="2">
        <v>1047600000</v>
      </c>
      <c r="H597" t="s">
        <v>12</v>
      </c>
      <c r="I597" s="2">
        <v>21600000</v>
      </c>
      <c r="J597" t="s">
        <v>13</v>
      </c>
      <c r="K597" t="s">
        <v>64</v>
      </c>
      <c r="L597">
        <f t="shared" si="9"/>
        <v>0.34543826702188063</v>
      </c>
    </row>
    <row r="598" spans="1:12" x14ac:dyDescent="0.2">
      <c r="A598">
        <v>624</v>
      </c>
      <c r="B598" t="s">
        <v>249</v>
      </c>
      <c r="C598" t="s">
        <v>11</v>
      </c>
      <c r="D598" s="1">
        <v>41274</v>
      </c>
      <c r="E598" s="2">
        <v>18010000000</v>
      </c>
      <c r="F598" s="2">
        <v>11561000000</v>
      </c>
      <c r="G598" s="2">
        <v>431000000</v>
      </c>
      <c r="H598" s="2">
        <v>285000000</v>
      </c>
      <c r="I598" t="s">
        <v>12</v>
      </c>
      <c r="J598" t="s">
        <v>59</v>
      </c>
      <c r="K598" t="s">
        <v>250</v>
      </c>
      <c r="L598">
        <f t="shared" si="9"/>
        <v>0.35807884508606325</v>
      </c>
    </row>
    <row r="599" spans="1:12" x14ac:dyDescent="0.2">
      <c r="A599">
        <v>625</v>
      </c>
      <c r="B599" t="s">
        <v>249</v>
      </c>
      <c r="C599" t="s">
        <v>15</v>
      </c>
      <c r="D599" s="1">
        <v>41639</v>
      </c>
      <c r="E599" s="2">
        <v>20921000000</v>
      </c>
      <c r="F599" s="2">
        <v>14637000000</v>
      </c>
      <c r="G599" s="2">
        <v>657000000</v>
      </c>
      <c r="H599" s="2">
        <v>210000000</v>
      </c>
      <c r="I599" t="s">
        <v>12</v>
      </c>
      <c r="J599" t="s">
        <v>59</v>
      </c>
      <c r="K599" t="s">
        <v>250</v>
      </c>
      <c r="L599">
        <f t="shared" si="9"/>
        <v>0.30036805124038046</v>
      </c>
    </row>
    <row r="600" spans="1:12" x14ac:dyDescent="0.2">
      <c r="A600">
        <v>626</v>
      </c>
      <c r="B600" t="s">
        <v>249</v>
      </c>
      <c r="C600" t="s">
        <v>16</v>
      </c>
      <c r="D600" s="1">
        <v>42004</v>
      </c>
      <c r="E600" s="2">
        <v>21438000000</v>
      </c>
      <c r="F600" s="2">
        <v>19504000000</v>
      </c>
      <c r="G600" s="2">
        <v>592000000</v>
      </c>
      <c r="H600" s="2">
        <v>126000000</v>
      </c>
      <c r="I600" t="s">
        <v>12</v>
      </c>
      <c r="J600" t="s">
        <v>59</v>
      </c>
      <c r="K600" t="s">
        <v>250</v>
      </c>
      <c r="L600">
        <f t="shared" si="9"/>
        <v>9.0213639332027196E-2</v>
      </c>
    </row>
    <row r="601" spans="1:12" x14ac:dyDescent="0.2">
      <c r="A601">
        <v>627</v>
      </c>
      <c r="B601" t="s">
        <v>249</v>
      </c>
      <c r="C601" t="s">
        <v>17</v>
      </c>
      <c r="D601" s="1">
        <v>42369</v>
      </c>
      <c r="E601" s="2">
        <v>15877000000</v>
      </c>
      <c r="F601" s="2">
        <v>28524000000</v>
      </c>
      <c r="G601" s="2">
        <v>569000000</v>
      </c>
      <c r="H601" s="2">
        <v>127000000</v>
      </c>
      <c r="I601" t="s">
        <v>12</v>
      </c>
      <c r="J601" t="s">
        <v>59</v>
      </c>
      <c r="K601" t="s">
        <v>250</v>
      </c>
      <c r="L601">
        <f t="shared" si="9"/>
        <v>-0.79656106317314346</v>
      </c>
    </row>
    <row r="602" spans="1:12" x14ac:dyDescent="0.2">
      <c r="A602">
        <v>628</v>
      </c>
      <c r="B602" t="s">
        <v>251</v>
      </c>
      <c r="C602" t="s">
        <v>11</v>
      </c>
      <c r="D602" s="1">
        <v>41425</v>
      </c>
      <c r="E602" s="2">
        <v>44287000000</v>
      </c>
      <c r="F602" s="2">
        <v>16448000000</v>
      </c>
      <c r="G602" s="2">
        <v>20359000000</v>
      </c>
      <c r="H602" t="s">
        <v>12</v>
      </c>
      <c r="I602" s="2">
        <v>2386000000</v>
      </c>
      <c r="J602" t="s">
        <v>13</v>
      </c>
      <c r="K602" t="s">
        <v>146</v>
      </c>
      <c r="L602">
        <f t="shared" si="9"/>
        <v>0.62860433084200773</v>
      </c>
    </row>
    <row r="603" spans="1:12" x14ac:dyDescent="0.2">
      <c r="A603">
        <v>629</v>
      </c>
      <c r="B603" t="s">
        <v>251</v>
      </c>
      <c r="C603" t="s">
        <v>15</v>
      </c>
      <c r="D603" s="1">
        <v>41790</v>
      </c>
      <c r="E603" s="2">
        <v>45567000000</v>
      </c>
      <c r="F603" s="2">
        <v>17052000000</v>
      </c>
      <c r="G603" s="2">
        <v>22113000000</v>
      </c>
      <c r="H603" t="s">
        <v>12</v>
      </c>
      <c r="I603" s="2">
        <v>2587000000</v>
      </c>
      <c r="J603" t="s">
        <v>13</v>
      </c>
      <c r="K603" t="s">
        <v>146</v>
      </c>
      <c r="L603">
        <f t="shared" si="9"/>
        <v>0.62578181578774106</v>
      </c>
    </row>
    <row r="604" spans="1:12" x14ac:dyDescent="0.2">
      <c r="A604">
        <v>630</v>
      </c>
      <c r="B604" t="s">
        <v>251</v>
      </c>
      <c r="C604" t="s">
        <v>16</v>
      </c>
      <c r="D604" s="1">
        <v>42155</v>
      </c>
      <c r="E604" s="2">
        <v>47453000000</v>
      </c>
      <c r="F604" s="2">
        <v>16984000000</v>
      </c>
      <c r="G604" s="2">
        <v>25715000000</v>
      </c>
      <c r="H604" t="s">
        <v>12</v>
      </c>
      <c r="I604" s="2">
        <v>2611000000</v>
      </c>
      <c r="J604" t="s">
        <v>13</v>
      </c>
      <c r="K604" t="s">
        <v>146</v>
      </c>
      <c r="L604">
        <f t="shared" si="9"/>
        <v>0.6420879607190273</v>
      </c>
    </row>
    <row r="605" spans="1:12" x14ac:dyDescent="0.2">
      <c r="A605">
        <v>631</v>
      </c>
      <c r="B605" t="s">
        <v>251</v>
      </c>
      <c r="C605" t="s">
        <v>17</v>
      </c>
      <c r="D605" s="1">
        <v>42521</v>
      </c>
      <c r="E605" s="2">
        <v>50365000000</v>
      </c>
      <c r="F605" s="2">
        <v>17327000000</v>
      </c>
      <c r="G605" s="2">
        <v>27330000000</v>
      </c>
      <c r="H605" t="s">
        <v>12</v>
      </c>
      <c r="I605" s="2">
        <v>2631000000</v>
      </c>
      <c r="J605" t="s">
        <v>13</v>
      </c>
      <c r="K605" t="s">
        <v>146</v>
      </c>
      <c r="L605">
        <f t="shared" si="9"/>
        <v>0.6559714087163705</v>
      </c>
    </row>
    <row r="606" spans="1:12" x14ac:dyDescent="0.2">
      <c r="A606">
        <v>632</v>
      </c>
      <c r="B606" t="s">
        <v>252</v>
      </c>
      <c r="C606" t="s">
        <v>11</v>
      </c>
      <c r="D606" s="1">
        <v>41274</v>
      </c>
      <c r="E606" s="2">
        <v>15255000000</v>
      </c>
      <c r="F606" s="2">
        <v>6717000000</v>
      </c>
      <c r="G606" s="2">
        <v>5353000000</v>
      </c>
      <c r="H606" t="s">
        <v>12</v>
      </c>
      <c r="I606" s="2">
        <v>1051000000</v>
      </c>
      <c r="J606" t="s">
        <v>42</v>
      </c>
      <c r="K606" t="s">
        <v>45</v>
      </c>
      <c r="L606">
        <f t="shared" si="9"/>
        <v>0.55968534906587997</v>
      </c>
    </row>
    <row r="607" spans="1:12" x14ac:dyDescent="0.2">
      <c r="A607">
        <v>633</v>
      </c>
      <c r="B607" t="s">
        <v>252</v>
      </c>
      <c r="C607" t="s">
        <v>15</v>
      </c>
      <c r="D607" s="1">
        <v>41639</v>
      </c>
      <c r="E607" s="2">
        <v>14892000000</v>
      </c>
      <c r="F607" s="2">
        <v>6459000000</v>
      </c>
      <c r="G607" s="2">
        <v>4315000000</v>
      </c>
      <c r="H607" t="s">
        <v>12</v>
      </c>
      <c r="I607" s="2">
        <v>1741000000</v>
      </c>
      <c r="J607" t="s">
        <v>42</v>
      </c>
      <c r="K607" t="s">
        <v>45</v>
      </c>
      <c r="L607">
        <f t="shared" si="9"/>
        <v>0.56627719580983071</v>
      </c>
    </row>
    <row r="608" spans="1:12" x14ac:dyDescent="0.2">
      <c r="A608">
        <v>634</v>
      </c>
      <c r="B608" t="s">
        <v>252</v>
      </c>
      <c r="C608" t="s">
        <v>16</v>
      </c>
      <c r="D608" s="1">
        <v>42004</v>
      </c>
      <c r="E608" s="2">
        <v>15049000000</v>
      </c>
      <c r="F608" s="2">
        <v>6996000000</v>
      </c>
      <c r="G608" s="2">
        <v>5759000000</v>
      </c>
      <c r="H608" t="s">
        <v>12</v>
      </c>
      <c r="I608" s="2">
        <v>1232000000</v>
      </c>
      <c r="J608" t="s">
        <v>42</v>
      </c>
      <c r="K608" t="s">
        <v>45</v>
      </c>
      <c r="L608">
        <f t="shared" si="9"/>
        <v>0.53511861253239412</v>
      </c>
    </row>
    <row r="609" spans="1:12" x14ac:dyDescent="0.2">
      <c r="A609">
        <v>635</v>
      </c>
      <c r="B609" t="s">
        <v>252</v>
      </c>
      <c r="C609" t="s">
        <v>17</v>
      </c>
      <c r="D609" s="1">
        <v>42369</v>
      </c>
      <c r="E609" s="2">
        <v>15026000000</v>
      </c>
      <c r="F609" s="2">
        <v>6173000000</v>
      </c>
      <c r="G609" s="2">
        <v>4969000000</v>
      </c>
      <c r="H609" t="s">
        <v>12</v>
      </c>
      <c r="I609" s="2">
        <v>1550000000</v>
      </c>
      <c r="J609" t="s">
        <v>42</v>
      </c>
      <c r="K609" t="s">
        <v>45</v>
      </c>
      <c r="L609">
        <f t="shared" si="9"/>
        <v>0.58917875682150944</v>
      </c>
    </row>
    <row r="610" spans="1:12" x14ac:dyDescent="0.2">
      <c r="A610">
        <v>636</v>
      </c>
      <c r="B610" t="s">
        <v>253</v>
      </c>
      <c r="C610" t="s">
        <v>11</v>
      </c>
      <c r="D610" s="1">
        <v>41547</v>
      </c>
      <c r="E610" s="2">
        <v>1481314000</v>
      </c>
      <c r="F610" s="2">
        <v>253047000</v>
      </c>
      <c r="G610" s="2">
        <v>587835000</v>
      </c>
      <c r="H610" s="2">
        <v>209614000</v>
      </c>
      <c r="I610" t="s">
        <v>12</v>
      </c>
      <c r="J610" t="s">
        <v>22</v>
      </c>
      <c r="K610" t="s">
        <v>174</v>
      </c>
      <c r="L610">
        <f t="shared" si="9"/>
        <v>0.82917396311653035</v>
      </c>
    </row>
    <row r="611" spans="1:12" x14ac:dyDescent="0.2">
      <c r="A611">
        <v>637</v>
      </c>
      <c r="B611" t="s">
        <v>253</v>
      </c>
      <c r="C611" t="s">
        <v>15</v>
      </c>
      <c r="D611" s="1">
        <v>41912</v>
      </c>
      <c r="E611" s="2">
        <v>1732046000</v>
      </c>
      <c r="F611" s="2">
        <v>309959000</v>
      </c>
      <c r="G611" s="2">
        <v>664738000</v>
      </c>
      <c r="H611" s="2">
        <v>263792000</v>
      </c>
      <c r="I611" t="s">
        <v>12</v>
      </c>
      <c r="J611" t="s">
        <v>22</v>
      </c>
      <c r="K611" t="s">
        <v>174</v>
      </c>
      <c r="L611">
        <f t="shared" si="9"/>
        <v>0.82104459119446016</v>
      </c>
    </row>
    <row r="612" spans="1:12" x14ac:dyDescent="0.2">
      <c r="A612">
        <v>638</v>
      </c>
      <c r="B612" t="s">
        <v>253</v>
      </c>
      <c r="C612" t="s">
        <v>16</v>
      </c>
      <c r="D612" s="1">
        <v>42277</v>
      </c>
      <c r="E612" s="2">
        <v>1919823000</v>
      </c>
      <c r="F612" s="2">
        <v>332261000</v>
      </c>
      <c r="G612" s="2">
        <v>738080000</v>
      </c>
      <c r="H612" s="2">
        <v>296583000</v>
      </c>
      <c r="I612" t="s">
        <v>12</v>
      </c>
      <c r="J612" t="s">
        <v>22</v>
      </c>
      <c r="K612" t="s">
        <v>174</v>
      </c>
      <c r="L612">
        <f t="shared" si="9"/>
        <v>0.82693144107555749</v>
      </c>
    </row>
    <row r="613" spans="1:12" x14ac:dyDescent="0.2">
      <c r="A613">
        <v>639</v>
      </c>
      <c r="B613" t="s">
        <v>253</v>
      </c>
      <c r="C613" t="s">
        <v>17</v>
      </c>
      <c r="D613" s="1">
        <v>42643</v>
      </c>
      <c r="E613" s="2">
        <v>1995034000</v>
      </c>
      <c r="F613" s="2">
        <v>337205000</v>
      </c>
      <c r="G613" s="2">
        <v>767174000</v>
      </c>
      <c r="H613" s="2">
        <v>334227000</v>
      </c>
      <c r="I613" t="s">
        <v>12</v>
      </c>
      <c r="J613" t="s">
        <v>22</v>
      </c>
      <c r="K613" t="s">
        <v>174</v>
      </c>
      <c r="L613">
        <f t="shared" si="9"/>
        <v>0.83097781792190006</v>
      </c>
    </row>
    <row r="614" spans="1:12" x14ac:dyDescent="0.2">
      <c r="A614">
        <v>640</v>
      </c>
      <c r="B614" t="s">
        <v>254</v>
      </c>
      <c r="C614" t="s">
        <v>11</v>
      </c>
      <c r="D614" s="1">
        <v>41274</v>
      </c>
      <c r="E614" s="2">
        <v>5795800000</v>
      </c>
      <c r="F614" s="2">
        <v>3956200000</v>
      </c>
      <c r="G614" s="2">
        <v>763300000</v>
      </c>
      <c r="H614" t="s">
        <v>12</v>
      </c>
      <c r="I614" t="s">
        <v>12</v>
      </c>
      <c r="J614" t="s">
        <v>22</v>
      </c>
      <c r="K614" t="s">
        <v>57</v>
      </c>
      <c r="L614">
        <f t="shared" si="9"/>
        <v>0.31740225680665313</v>
      </c>
    </row>
    <row r="615" spans="1:12" x14ac:dyDescent="0.2">
      <c r="A615">
        <v>641</v>
      </c>
      <c r="B615" t="s">
        <v>254</v>
      </c>
      <c r="C615" t="s">
        <v>15</v>
      </c>
      <c r="D615" s="1">
        <v>41639</v>
      </c>
      <c r="E615" s="2">
        <v>6063400000</v>
      </c>
      <c r="F615" s="2">
        <v>4092700000</v>
      </c>
      <c r="G615" s="2">
        <v>907800000</v>
      </c>
      <c r="H615" t="s">
        <v>12</v>
      </c>
      <c r="I615" t="s">
        <v>12</v>
      </c>
      <c r="J615" t="s">
        <v>22</v>
      </c>
      <c r="K615" t="s">
        <v>57</v>
      </c>
      <c r="L615">
        <f t="shared" si="9"/>
        <v>0.32501566777715474</v>
      </c>
    </row>
    <row r="616" spans="1:12" x14ac:dyDescent="0.2">
      <c r="A616">
        <v>642</v>
      </c>
      <c r="B616" t="s">
        <v>254</v>
      </c>
      <c r="C616" t="s">
        <v>16</v>
      </c>
      <c r="D616" s="1">
        <v>42004</v>
      </c>
      <c r="E616" s="2">
        <v>6413800000</v>
      </c>
      <c r="F616" s="2">
        <v>4328300000</v>
      </c>
      <c r="G616" s="2">
        <v>814900000</v>
      </c>
      <c r="H616" t="s">
        <v>12</v>
      </c>
      <c r="I616" t="s">
        <v>12</v>
      </c>
      <c r="J616" t="s">
        <v>22</v>
      </c>
      <c r="K616" t="s">
        <v>57</v>
      </c>
      <c r="L616">
        <f t="shared" si="9"/>
        <v>0.32515825251800801</v>
      </c>
    </row>
    <row r="617" spans="1:12" x14ac:dyDescent="0.2">
      <c r="A617">
        <v>643</v>
      </c>
      <c r="B617" t="s">
        <v>254</v>
      </c>
      <c r="C617" t="s">
        <v>17</v>
      </c>
      <c r="D617" s="1">
        <v>42369</v>
      </c>
      <c r="E617" s="2">
        <v>6595200000</v>
      </c>
      <c r="F617" s="2">
        <v>4393200000</v>
      </c>
      <c r="G617" s="2">
        <v>1102800000</v>
      </c>
      <c r="H617" t="s">
        <v>12</v>
      </c>
      <c r="I617" t="s">
        <v>12</v>
      </c>
      <c r="J617" t="s">
        <v>22</v>
      </c>
      <c r="K617" t="s">
        <v>57</v>
      </c>
      <c r="L617">
        <f t="shared" si="9"/>
        <v>0.33387918486171764</v>
      </c>
    </row>
    <row r="618" spans="1:12" x14ac:dyDescent="0.2">
      <c r="A618">
        <v>644</v>
      </c>
      <c r="B618" t="s">
        <v>255</v>
      </c>
      <c r="C618" t="s">
        <v>11</v>
      </c>
      <c r="D618" s="1">
        <v>41274</v>
      </c>
      <c r="E618" s="2">
        <v>4436000000</v>
      </c>
      <c r="F618" s="2">
        <v>2564000000</v>
      </c>
      <c r="G618" s="2">
        <v>824000000</v>
      </c>
      <c r="H618" t="s">
        <v>12</v>
      </c>
      <c r="I618" t="s">
        <v>12</v>
      </c>
      <c r="J618" t="s">
        <v>22</v>
      </c>
      <c r="K618" t="s">
        <v>57</v>
      </c>
      <c r="L618">
        <f t="shared" si="9"/>
        <v>0.42200180342651039</v>
      </c>
    </row>
    <row r="619" spans="1:12" x14ac:dyDescent="0.2">
      <c r="A619">
        <v>645</v>
      </c>
      <c r="B619" t="s">
        <v>255</v>
      </c>
      <c r="C619" t="s">
        <v>15</v>
      </c>
      <c r="D619" s="1">
        <v>41639</v>
      </c>
      <c r="E619" s="2">
        <v>4814000000</v>
      </c>
      <c r="F619" s="2">
        <v>2776000000</v>
      </c>
      <c r="G619" s="2">
        <v>977000000</v>
      </c>
      <c r="H619" t="s">
        <v>12</v>
      </c>
      <c r="I619" t="s">
        <v>12</v>
      </c>
      <c r="J619" t="s">
        <v>22</v>
      </c>
      <c r="K619" t="s">
        <v>57</v>
      </c>
      <c r="L619">
        <f t="shared" si="9"/>
        <v>0.42334856668051513</v>
      </c>
    </row>
    <row r="620" spans="1:12" x14ac:dyDescent="0.2">
      <c r="A620">
        <v>646</v>
      </c>
      <c r="B620" t="s">
        <v>255</v>
      </c>
      <c r="C620" t="s">
        <v>16</v>
      </c>
      <c r="D620" s="1">
        <v>42004</v>
      </c>
      <c r="E620" s="2">
        <v>5066000000</v>
      </c>
      <c r="F620" s="2">
        <v>2881000000</v>
      </c>
      <c r="G620" s="2">
        <v>975000000</v>
      </c>
      <c r="H620" t="s">
        <v>12</v>
      </c>
      <c r="I620" t="s">
        <v>12</v>
      </c>
      <c r="J620" t="s">
        <v>22</v>
      </c>
      <c r="K620" t="s">
        <v>57</v>
      </c>
      <c r="L620">
        <f t="shared" si="9"/>
        <v>0.43130675088827475</v>
      </c>
    </row>
    <row r="621" spans="1:12" x14ac:dyDescent="0.2">
      <c r="A621">
        <v>647</v>
      </c>
      <c r="B621" t="s">
        <v>255</v>
      </c>
      <c r="C621" t="s">
        <v>17</v>
      </c>
      <c r="D621" s="1">
        <v>42369</v>
      </c>
      <c r="E621" s="2">
        <v>5254000000</v>
      </c>
      <c r="F621" s="2">
        <v>2909000000</v>
      </c>
      <c r="G621" s="2">
        <v>1034000000</v>
      </c>
      <c r="H621" t="s">
        <v>12</v>
      </c>
      <c r="I621" t="s">
        <v>12</v>
      </c>
      <c r="J621" t="s">
        <v>22</v>
      </c>
      <c r="K621" t="s">
        <v>57</v>
      </c>
      <c r="L621">
        <f t="shared" si="9"/>
        <v>0.44632660829843929</v>
      </c>
    </row>
    <row r="622" spans="1:12" x14ac:dyDescent="0.2">
      <c r="A622">
        <v>648</v>
      </c>
      <c r="B622" t="s">
        <v>256</v>
      </c>
      <c r="C622" t="s">
        <v>11</v>
      </c>
      <c r="D622" s="1">
        <v>41307</v>
      </c>
      <c r="E622" s="2">
        <v>6182000000</v>
      </c>
      <c r="F622" s="2">
        <v>4148000000</v>
      </c>
      <c r="G622" s="2">
        <v>1294000000</v>
      </c>
      <c r="H622" t="s">
        <v>12</v>
      </c>
      <c r="I622" s="2">
        <v>118000000</v>
      </c>
      <c r="J622" t="s">
        <v>19</v>
      </c>
      <c r="K622" t="s">
        <v>257</v>
      </c>
      <c r="L622">
        <f t="shared" si="9"/>
        <v>0.32901973471368484</v>
      </c>
    </row>
    <row r="623" spans="1:12" x14ac:dyDescent="0.2">
      <c r="A623">
        <v>649</v>
      </c>
      <c r="B623" t="s">
        <v>256</v>
      </c>
      <c r="C623" t="s">
        <v>15</v>
      </c>
      <c r="D623" s="1">
        <v>41671</v>
      </c>
      <c r="E623" s="2">
        <v>6505000000</v>
      </c>
      <c r="F623" s="2">
        <v>4372000000</v>
      </c>
      <c r="G623" s="2">
        <v>1334000000</v>
      </c>
      <c r="H623" t="s">
        <v>12</v>
      </c>
      <c r="I623" s="2">
        <v>133000000</v>
      </c>
      <c r="J623" t="s">
        <v>19</v>
      </c>
      <c r="K623" t="s">
        <v>257</v>
      </c>
      <c r="L623">
        <f t="shared" si="9"/>
        <v>0.32790161414296692</v>
      </c>
    </row>
    <row r="624" spans="1:12" x14ac:dyDescent="0.2">
      <c r="A624">
        <v>650</v>
      </c>
      <c r="B624" t="s">
        <v>256</v>
      </c>
      <c r="C624" t="s">
        <v>16</v>
      </c>
      <c r="D624" s="1">
        <v>42035</v>
      </c>
      <c r="E624" s="2">
        <v>7151000000</v>
      </c>
      <c r="F624" s="2">
        <v>4777000000</v>
      </c>
      <c r="G624" s="2">
        <v>1426000000</v>
      </c>
      <c r="H624" t="s">
        <v>12</v>
      </c>
      <c r="I624" s="2">
        <v>139000000</v>
      </c>
      <c r="J624" t="s">
        <v>19</v>
      </c>
      <c r="K624" t="s">
        <v>257</v>
      </c>
      <c r="L624">
        <f t="shared" si="9"/>
        <v>0.33198154104321076</v>
      </c>
    </row>
    <row r="625" spans="1:12" x14ac:dyDescent="0.2">
      <c r="A625">
        <v>651</v>
      </c>
      <c r="B625" t="s">
        <v>256</v>
      </c>
      <c r="C625" t="s">
        <v>17</v>
      </c>
      <c r="D625" s="1">
        <v>42399</v>
      </c>
      <c r="E625" s="2">
        <v>7412000000</v>
      </c>
      <c r="F625" s="2">
        <v>4907000000</v>
      </c>
      <c r="G625" s="2">
        <v>1415000000</v>
      </c>
      <c r="H625" t="s">
        <v>12</v>
      </c>
      <c r="I625" s="2">
        <v>148000000</v>
      </c>
      <c r="J625" t="s">
        <v>19</v>
      </c>
      <c r="K625" t="s">
        <v>257</v>
      </c>
      <c r="L625">
        <f t="shared" si="9"/>
        <v>0.33796546141392336</v>
      </c>
    </row>
    <row r="626" spans="1:12" x14ac:dyDescent="0.2">
      <c r="A626">
        <v>652</v>
      </c>
      <c r="B626" t="s">
        <v>258</v>
      </c>
      <c r="C626" t="s">
        <v>11</v>
      </c>
      <c r="D626" s="1">
        <v>41274</v>
      </c>
      <c r="E626" s="2">
        <v>1405358000</v>
      </c>
      <c r="F626" s="2">
        <v>670174000</v>
      </c>
      <c r="G626" s="2">
        <v>292500000</v>
      </c>
      <c r="H626" s="2">
        <v>137354000</v>
      </c>
      <c r="I626" t="s">
        <v>12</v>
      </c>
      <c r="J626" t="s">
        <v>22</v>
      </c>
      <c r="K626" t="s">
        <v>259</v>
      </c>
      <c r="L626">
        <f t="shared" si="9"/>
        <v>0.52312933786266558</v>
      </c>
    </row>
    <row r="627" spans="1:12" x14ac:dyDescent="0.2">
      <c r="A627">
        <v>653</v>
      </c>
      <c r="B627" t="s">
        <v>258</v>
      </c>
      <c r="C627" t="s">
        <v>15</v>
      </c>
      <c r="D627" s="1">
        <v>41639</v>
      </c>
      <c r="E627" s="2">
        <v>1496372000</v>
      </c>
      <c r="F627" s="2">
        <v>759362000</v>
      </c>
      <c r="G627" s="2">
        <v>322739000</v>
      </c>
      <c r="H627" s="2">
        <v>147696000</v>
      </c>
      <c r="I627" t="s">
        <v>12</v>
      </c>
      <c r="J627" t="s">
        <v>22</v>
      </c>
      <c r="K627" t="s">
        <v>259</v>
      </c>
      <c r="L627">
        <f t="shared" si="9"/>
        <v>0.49253126896253074</v>
      </c>
    </row>
    <row r="628" spans="1:12" x14ac:dyDescent="0.2">
      <c r="A628">
        <v>654</v>
      </c>
      <c r="B628" t="s">
        <v>258</v>
      </c>
      <c r="C628" t="s">
        <v>16</v>
      </c>
      <c r="D628" s="1">
        <v>42004</v>
      </c>
      <c r="E628" s="2">
        <v>1530654000</v>
      </c>
      <c r="F628" s="2">
        <v>780281000</v>
      </c>
      <c r="G628" s="2">
        <v>331995000</v>
      </c>
      <c r="H628" s="2">
        <v>142751000</v>
      </c>
      <c r="I628" t="s">
        <v>12</v>
      </c>
      <c r="J628" t="s">
        <v>22</v>
      </c>
      <c r="K628" t="s">
        <v>259</v>
      </c>
      <c r="L628">
        <f t="shared" si="9"/>
        <v>0.49023031985020782</v>
      </c>
    </row>
    <row r="629" spans="1:12" x14ac:dyDescent="0.2">
      <c r="A629">
        <v>655</v>
      </c>
      <c r="B629" t="s">
        <v>258</v>
      </c>
      <c r="C629" t="s">
        <v>17</v>
      </c>
      <c r="D629" s="1">
        <v>42369</v>
      </c>
      <c r="E629" s="2">
        <v>1557067000</v>
      </c>
      <c r="F629" s="2">
        <v>803506000</v>
      </c>
      <c r="G629" s="2">
        <v>313544000</v>
      </c>
      <c r="H629" s="2">
        <v>132892000</v>
      </c>
      <c r="I629" t="s">
        <v>12</v>
      </c>
      <c r="J629" t="s">
        <v>22</v>
      </c>
      <c r="K629" t="s">
        <v>259</v>
      </c>
      <c r="L629">
        <f t="shared" si="9"/>
        <v>0.48396183337004761</v>
      </c>
    </row>
    <row r="630" spans="1:12" x14ac:dyDescent="0.2">
      <c r="A630">
        <v>656</v>
      </c>
      <c r="B630" t="s">
        <v>260</v>
      </c>
      <c r="C630" t="s">
        <v>11</v>
      </c>
      <c r="D630" s="1">
        <v>41639</v>
      </c>
      <c r="E630" s="2">
        <v>27351573000</v>
      </c>
      <c r="F630" s="2">
        <v>25986382000</v>
      </c>
      <c r="G630" s="2">
        <v>175148000</v>
      </c>
      <c r="H630" t="s">
        <v>12</v>
      </c>
      <c r="I630" t="s">
        <v>12</v>
      </c>
      <c r="J630" t="s">
        <v>13</v>
      </c>
      <c r="K630" t="s">
        <v>261</v>
      </c>
      <c r="L630">
        <f t="shared" si="9"/>
        <v>4.9912705203463026E-2</v>
      </c>
    </row>
    <row r="631" spans="1:12" x14ac:dyDescent="0.2">
      <c r="A631">
        <v>657</v>
      </c>
      <c r="B631" t="s">
        <v>260</v>
      </c>
      <c r="C631" t="s">
        <v>15</v>
      </c>
      <c r="D631" s="1">
        <v>42004</v>
      </c>
      <c r="E631" s="2">
        <v>21531577000</v>
      </c>
      <c r="F631" s="2">
        <v>20132544000</v>
      </c>
      <c r="G631" s="2">
        <v>182711000</v>
      </c>
      <c r="H631" t="s">
        <v>12</v>
      </c>
      <c r="I631" t="s">
        <v>12</v>
      </c>
      <c r="J631" t="s">
        <v>13</v>
      </c>
      <c r="K631" t="s">
        <v>261</v>
      </c>
      <c r="L631">
        <f t="shared" si="9"/>
        <v>6.497587241287528E-2</v>
      </c>
    </row>
    <row r="632" spans="1:12" x14ac:dyDescent="0.2">
      <c r="A632">
        <v>658</v>
      </c>
      <c r="B632" t="s">
        <v>260</v>
      </c>
      <c r="C632" t="s">
        <v>16</v>
      </c>
      <c r="D632" s="1">
        <v>42369</v>
      </c>
      <c r="E632" s="2">
        <v>18114048000</v>
      </c>
      <c r="F632" s="2">
        <v>17019352000</v>
      </c>
      <c r="G632" s="2">
        <v>408225000</v>
      </c>
      <c r="H632" t="s">
        <v>12</v>
      </c>
      <c r="I632" t="s">
        <v>12</v>
      </c>
      <c r="J632" t="s">
        <v>13</v>
      </c>
      <c r="K632" t="s">
        <v>261</v>
      </c>
      <c r="L632">
        <f t="shared" si="9"/>
        <v>6.0433537550524274E-2</v>
      </c>
    </row>
    <row r="633" spans="1:12" x14ac:dyDescent="0.2">
      <c r="A633">
        <v>659</v>
      </c>
      <c r="B633" t="s">
        <v>260</v>
      </c>
      <c r="C633" t="s">
        <v>17</v>
      </c>
      <c r="D633" s="1">
        <v>42735</v>
      </c>
      <c r="E633" s="2">
        <v>19036525000</v>
      </c>
      <c r="F633" s="2">
        <v>18246209000</v>
      </c>
      <c r="G633" s="2">
        <v>191073000</v>
      </c>
      <c r="H633" t="s">
        <v>12</v>
      </c>
      <c r="I633" t="s">
        <v>12</v>
      </c>
      <c r="J633" t="s">
        <v>13</v>
      </c>
      <c r="K633" t="s">
        <v>261</v>
      </c>
      <c r="L633">
        <f t="shared" si="9"/>
        <v>4.1515770341488234E-2</v>
      </c>
    </row>
    <row r="634" spans="1:12" x14ac:dyDescent="0.2">
      <c r="A634">
        <v>660</v>
      </c>
      <c r="B634" t="s">
        <v>262</v>
      </c>
      <c r="C634" t="s">
        <v>11</v>
      </c>
      <c r="D634" s="1">
        <v>41639</v>
      </c>
      <c r="E634" s="2">
        <v>4954619000</v>
      </c>
      <c r="F634" s="2">
        <v>3266524000</v>
      </c>
      <c r="G634" s="2">
        <v>966829000</v>
      </c>
      <c r="H634" t="s">
        <v>12</v>
      </c>
      <c r="I634" t="s">
        <v>12</v>
      </c>
      <c r="J634" t="s">
        <v>13</v>
      </c>
      <c r="K634" t="s">
        <v>157</v>
      </c>
      <c r="L634">
        <f t="shared" si="9"/>
        <v>0.34071136448635098</v>
      </c>
    </row>
    <row r="635" spans="1:12" x14ac:dyDescent="0.2">
      <c r="A635">
        <v>661</v>
      </c>
      <c r="B635" t="s">
        <v>262</v>
      </c>
      <c r="C635" t="s">
        <v>15</v>
      </c>
      <c r="D635" s="1">
        <v>42004</v>
      </c>
      <c r="E635" s="2">
        <v>4877885000</v>
      </c>
      <c r="F635" s="2">
        <v>3163268000</v>
      </c>
      <c r="G635" s="2">
        <v>936900000</v>
      </c>
      <c r="H635" t="s">
        <v>12</v>
      </c>
      <c r="I635" t="s">
        <v>12</v>
      </c>
      <c r="J635" t="s">
        <v>13</v>
      </c>
      <c r="K635" t="s">
        <v>157</v>
      </c>
      <c r="L635">
        <f t="shared" si="9"/>
        <v>0.35150828689073232</v>
      </c>
    </row>
    <row r="636" spans="1:12" x14ac:dyDescent="0.2">
      <c r="A636">
        <v>662</v>
      </c>
      <c r="B636" t="s">
        <v>262</v>
      </c>
      <c r="C636" t="s">
        <v>16</v>
      </c>
      <c r="D636" s="1">
        <v>42369</v>
      </c>
      <c r="E636" s="2">
        <v>4561030000</v>
      </c>
      <c r="F636" s="2">
        <v>3073712000</v>
      </c>
      <c r="G636" s="2">
        <v>971611000</v>
      </c>
      <c r="H636" t="s">
        <v>12</v>
      </c>
      <c r="I636" t="s">
        <v>12</v>
      </c>
      <c r="J636" t="s">
        <v>13</v>
      </c>
      <c r="K636" t="s">
        <v>157</v>
      </c>
      <c r="L636">
        <f t="shared" si="9"/>
        <v>0.32609257119554136</v>
      </c>
    </row>
    <row r="637" spans="1:12" x14ac:dyDescent="0.2">
      <c r="A637">
        <v>663</v>
      </c>
      <c r="B637" t="s">
        <v>262</v>
      </c>
      <c r="C637" t="s">
        <v>17</v>
      </c>
      <c r="D637" s="1">
        <v>42735</v>
      </c>
      <c r="E637" s="2">
        <v>3991462000</v>
      </c>
      <c r="F637" s="2">
        <v>2759908000</v>
      </c>
      <c r="G637" s="2">
        <v>965322000</v>
      </c>
      <c r="H637" t="s">
        <v>12</v>
      </c>
      <c r="I637" t="s">
        <v>12</v>
      </c>
      <c r="J637" t="s">
        <v>13</v>
      </c>
      <c r="K637" t="s">
        <v>157</v>
      </c>
      <c r="L637">
        <f t="shared" si="9"/>
        <v>0.30854709377165557</v>
      </c>
    </row>
    <row r="638" spans="1:12" x14ac:dyDescent="0.2">
      <c r="A638">
        <v>664</v>
      </c>
      <c r="B638" t="s">
        <v>263</v>
      </c>
      <c r="C638" t="s">
        <v>11</v>
      </c>
      <c r="D638" s="1">
        <v>41274</v>
      </c>
      <c r="E638" s="2">
        <v>3409900000</v>
      </c>
      <c r="F638" s="2">
        <v>2141600000</v>
      </c>
      <c r="G638" s="2">
        <v>489700000</v>
      </c>
      <c r="H638" s="2">
        <v>112000000</v>
      </c>
      <c r="I638" t="s">
        <v>12</v>
      </c>
      <c r="J638" t="s">
        <v>59</v>
      </c>
      <c r="K638" t="s">
        <v>193</v>
      </c>
      <c r="L638">
        <f t="shared" si="9"/>
        <v>0.37194639138977681</v>
      </c>
    </row>
    <row r="639" spans="1:12" x14ac:dyDescent="0.2">
      <c r="A639">
        <v>665</v>
      </c>
      <c r="B639" t="s">
        <v>263</v>
      </c>
      <c r="C639" t="s">
        <v>15</v>
      </c>
      <c r="D639" s="1">
        <v>41639</v>
      </c>
      <c r="E639" s="2">
        <v>3130700000</v>
      </c>
      <c r="F639" s="2">
        <v>1929800000</v>
      </c>
      <c r="G639" s="2">
        <v>496100000</v>
      </c>
      <c r="H639" s="2">
        <v>115600000</v>
      </c>
      <c r="I639" t="s">
        <v>12</v>
      </c>
      <c r="J639" t="s">
        <v>59</v>
      </c>
      <c r="K639" t="s">
        <v>193</v>
      </c>
      <c r="L639">
        <f t="shared" si="9"/>
        <v>0.38358833487718402</v>
      </c>
    </row>
    <row r="640" spans="1:12" x14ac:dyDescent="0.2">
      <c r="A640">
        <v>666</v>
      </c>
      <c r="B640" t="s">
        <v>263</v>
      </c>
      <c r="C640" t="s">
        <v>16</v>
      </c>
      <c r="D640" s="1">
        <v>42004</v>
      </c>
      <c r="E640" s="2">
        <v>3258700000</v>
      </c>
      <c r="F640" s="2">
        <v>2047800000</v>
      </c>
      <c r="G640" s="2">
        <v>589800000</v>
      </c>
      <c r="H640" s="2">
        <v>126300000</v>
      </c>
      <c r="I640" t="s">
        <v>12</v>
      </c>
      <c r="J640" t="s">
        <v>59</v>
      </c>
      <c r="K640" t="s">
        <v>193</v>
      </c>
      <c r="L640">
        <f t="shared" si="9"/>
        <v>0.37158989781201091</v>
      </c>
    </row>
    <row r="641" spans="1:12" x14ac:dyDescent="0.2">
      <c r="A641">
        <v>667</v>
      </c>
      <c r="B641" t="s">
        <v>263</v>
      </c>
      <c r="C641" t="s">
        <v>17</v>
      </c>
      <c r="D641" s="1">
        <v>42369</v>
      </c>
      <c r="E641" s="2">
        <v>3276500000</v>
      </c>
      <c r="F641" s="2">
        <v>2201100000</v>
      </c>
      <c r="G641" s="2">
        <v>737900000</v>
      </c>
      <c r="H641" s="2">
        <v>143700000</v>
      </c>
      <c r="I641" t="s">
        <v>12</v>
      </c>
      <c r="J641" t="s">
        <v>59</v>
      </c>
      <c r="K641" t="s">
        <v>193</v>
      </c>
      <c r="L641">
        <f t="shared" si="9"/>
        <v>0.32821608423622772</v>
      </c>
    </row>
    <row r="642" spans="1:12" x14ac:dyDescent="0.2">
      <c r="A642">
        <v>668</v>
      </c>
      <c r="B642" t="s">
        <v>264</v>
      </c>
      <c r="C642" t="s">
        <v>11</v>
      </c>
      <c r="D642" s="1">
        <v>41639</v>
      </c>
      <c r="E642" s="2">
        <v>637413000</v>
      </c>
      <c r="F642" s="2">
        <v>190454000</v>
      </c>
      <c r="G642" s="2">
        <v>31970000</v>
      </c>
      <c r="H642" t="s">
        <v>12</v>
      </c>
      <c r="I642" s="2">
        <v>160828000</v>
      </c>
      <c r="J642" t="s">
        <v>52</v>
      </c>
      <c r="K642" t="s">
        <v>265</v>
      </c>
      <c r="L642">
        <f t="shared" si="9"/>
        <v>0.70120785111066142</v>
      </c>
    </row>
    <row r="643" spans="1:12" x14ac:dyDescent="0.2">
      <c r="A643">
        <v>669</v>
      </c>
      <c r="B643" t="s">
        <v>264</v>
      </c>
      <c r="C643" t="s">
        <v>15</v>
      </c>
      <c r="D643" s="1">
        <v>42004</v>
      </c>
      <c r="E643" s="2">
        <v>686090000</v>
      </c>
      <c r="F643" s="2">
        <v>211923000</v>
      </c>
      <c r="G643" s="2">
        <v>32316000</v>
      </c>
      <c r="H643" t="s">
        <v>12</v>
      </c>
      <c r="I643" s="2">
        <v>170814000</v>
      </c>
      <c r="J643" t="s">
        <v>52</v>
      </c>
      <c r="K643" t="s">
        <v>265</v>
      </c>
      <c r="L643">
        <f t="shared" ref="L643:L706" si="10">1-F643/E643</f>
        <v>0.69111486831173752</v>
      </c>
    </row>
    <row r="644" spans="1:12" x14ac:dyDescent="0.2">
      <c r="A644">
        <v>670</v>
      </c>
      <c r="B644" t="s">
        <v>264</v>
      </c>
      <c r="C644" t="s">
        <v>16</v>
      </c>
      <c r="D644" s="1">
        <v>42369</v>
      </c>
      <c r="E644" s="2">
        <v>744012000</v>
      </c>
      <c r="F644" s="2">
        <v>233417000</v>
      </c>
      <c r="G644" s="2">
        <v>35645000</v>
      </c>
      <c r="H644" t="s">
        <v>12</v>
      </c>
      <c r="I644" s="2">
        <v>174796000</v>
      </c>
      <c r="J644" t="s">
        <v>52</v>
      </c>
      <c r="K644" t="s">
        <v>265</v>
      </c>
      <c r="L644">
        <f t="shared" si="10"/>
        <v>0.68627253323871118</v>
      </c>
    </row>
    <row r="645" spans="1:12" x14ac:dyDescent="0.2">
      <c r="A645">
        <v>671</v>
      </c>
      <c r="B645" t="s">
        <v>264</v>
      </c>
      <c r="C645" t="s">
        <v>17</v>
      </c>
      <c r="D645" s="1">
        <v>42735</v>
      </c>
      <c r="E645" s="2">
        <v>801591000</v>
      </c>
      <c r="F645" s="2">
        <v>253612000</v>
      </c>
      <c r="G645" s="2">
        <v>33399000</v>
      </c>
      <c r="H645" t="s">
        <v>12</v>
      </c>
      <c r="I645" s="2">
        <v>193585000</v>
      </c>
      <c r="J645" t="s">
        <v>52</v>
      </c>
      <c r="K645" t="s">
        <v>265</v>
      </c>
      <c r="L645">
        <f t="shared" si="10"/>
        <v>0.68361421223541674</v>
      </c>
    </row>
    <row r="646" spans="1:12" x14ac:dyDescent="0.2">
      <c r="A646">
        <v>672</v>
      </c>
      <c r="B646" t="s">
        <v>266</v>
      </c>
      <c r="C646" t="s">
        <v>11</v>
      </c>
      <c r="D646" s="1">
        <v>41274</v>
      </c>
      <c r="E646" s="2">
        <v>3368545000</v>
      </c>
      <c r="F646" s="2">
        <v>2515796000</v>
      </c>
      <c r="G646" s="2">
        <v>280928000</v>
      </c>
      <c r="H646" s="2">
        <v>132460000</v>
      </c>
      <c r="I646" t="s">
        <v>12</v>
      </c>
      <c r="J646" t="s">
        <v>22</v>
      </c>
      <c r="K646" t="s">
        <v>34</v>
      </c>
      <c r="L646">
        <f t="shared" si="10"/>
        <v>0.25315054422606798</v>
      </c>
    </row>
    <row r="647" spans="1:12" x14ac:dyDescent="0.2">
      <c r="A647">
        <v>673</v>
      </c>
      <c r="B647" t="s">
        <v>266</v>
      </c>
      <c r="C647" t="s">
        <v>15</v>
      </c>
      <c r="D647" s="1">
        <v>41639</v>
      </c>
      <c r="E647" s="2">
        <v>3309616000</v>
      </c>
      <c r="F647" s="2">
        <v>2444984000</v>
      </c>
      <c r="G647" s="2">
        <v>270261000</v>
      </c>
      <c r="H647" s="2">
        <v>134300000</v>
      </c>
      <c r="I647" t="s">
        <v>12</v>
      </c>
      <c r="J647" t="s">
        <v>22</v>
      </c>
      <c r="K647" t="s">
        <v>34</v>
      </c>
      <c r="L647">
        <f t="shared" si="10"/>
        <v>0.2612484348637425</v>
      </c>
    </row>
    <row r="648" spans="1:12" x14ac:dyDescent="0.2">
      <c r="A648">
        <v>674</v>
      </c>
      <c r="B648" t="s">
        <v>266</v>
      </c>
      <c r="C648" t="s">
        <v>16</v>
      </c>
      <c r="D648" s="1">
        <v>42004</v>
      </c>
      <c r="E648" s="2">
        <v>3391187000</v>
      </c>
      <c r="F648" s="2">
        <v>2566246000</v>
      </c>
      <c r="G648" s="2">
        <v>253827000</v>
      </c>
      <c r="H648" s="2">
        <v>143969000</v>
      </c>
      <c r="I648" t="s">
        <v>12</v>
      </c>
      <c r="J648" t="s">
        <v>22</v>
      </c>
      <c r="K648" t="s">
        <v>34</v>
      </c>
      <c r="L648">
        <f t="shared" si="10"/>
        <v>0.24326025076175395</v>
      </c>
    </row>
    <row r="649" spans="1:12" x14ac:dyDescent="0.2">
      <c r="A649">
        <v>675</v>
      </c>
      <c r="B649" t="s">
        <v>266</v>
      </c>
      <c r="C649" t="s">
        <v>17</v>
      </c>
      <c r="D649" s="1">
        <v>42369</v>
      </c>
      <c r="E649" s="2">
        <v>3578995000</v>
      </c>
      <c r="F649" s="2">
        <v>2659728000</v>
      </c>
      <c r="G649" s="2">
        <v>255192000</v>
      </c>
      <c r="H649" s="2">
        <v>130593000</v>
      </c>
      <c r="I649" t="s">
        <v>12</v>
      </c>
      <c r="J649" t="s">
        <v>22</v>
      </c>
      <c r="K649" t="s">
        <v>34</v>
      </c>
      <c r="L649">
        <f t="shared" si="10"/>
        <v>0.25685059632662244</v>
      </c>
    </row>
    <row r="650" spans="1:12" x14ac:dyDescent="0.2">
      <c r="A650">
        <v>676</v>
      </c>
      <c r="B650" t="s">
        <v>267</v>
      </c>
      <c r="C650" t="s">
        <v>11</v>
      </c>
      <c r="D650" s="1">
        <v>41274</v>
      </c>
      <c r="E650" s="2">
        <v>5011853000</v>
      </c>
      <c r="F650" t="s">
        <v>12</v>
      </c>
      <c r="G650" s="2">
        <v>2676141000</v>
      </c>
      <c r="H650" t="s">
        <v>12</v>
      </c>
      <c r="I650" s="2">
        <v>1266807000</v>
      </c>
      <c r="J650" t="s">
        <v>182</v>
      </c>
      <c r="K650" t="s">
        <v>183</v>
      </c>
      <c r="L650" t="e">
        <f t="shared" si="10"/>
        <v>#VALUE!</v>
      </c>
    </row>
    <row r="651" spans="1:12" x14ac:dyDescent="0.2">
      <c r="A651">
        <v>677</v>
      </c>
      <c r="B651" t="s">
        <v>267</v>
      </c>
      <c r="C651" t="s">
        <v>15</v>
      </c>
      <c r="D651" s="1">
        <v>41639</v>
      </c>
      <c r="E651" s="2">
        <v>4762000000</v>
      </c>
      <c r="F651" t="s">
        <v>12</v>
      </c>
      <c r="G651" s="2">
        <v>2616000000</v>
      </c>
      <c r="H651" t="s">
        <v>12</v>
      </c>
      <c r="I651" s="2">
        <v>1170000000</v>
      </c>
      <c r="J651" t="s">
        <v>182</v>
      </c>
      <c r="K651" t="s">
        <v>183</v>
      </c>
      <c r="L651" t="e">
        <f t="shared" si="10"/>
        <v>#VALUE!</v>
      </c>
    </row>
    <row r="652" spans="1:12" x14ac:dyDescent="0.2">
      <c r="A652">
        <v>678</v>
      </c>
      <c r="B652" t="s">
        <v>267</v>
      </c>
      <c r="C652" t="s">
        <v>16</v>
      </c>
      <c r="D652" s="1">
        <v>42004</v>
      </c>
      <c r="E652" s="2">
        <v>4772000000</v>
      </c>
      <c r="F652" t="s">
        <v>12</v>
      </c>
      <c r="G652" s="2">
        <v>2671000000</v>
      </c>
      <c r="H652" t="s">
        <v>12</v>
      </c>
      <c r="I652" s="2">
        <v>1139000000</v>
      </c>
      <c r="J652" t="s">
        <v>182</v>
      </c>
      <c r="K652" t="s">
        <v>183</v>
      </c>
      <c r="L652" t="e">
        <f t="shared" si="10"/>
        <v>#VALUE!</v>
      </c>
    </row>
    <row r="653" spans="1:12" x14ac:dyDescent="0.2">
      <c r="A653">
        <v>679</v>
      </c>
      <c r="B653" t="s">
        <v>267</v>
      </c>
      <c r="C653" t="s">
        <v>17</v>
      </c>
      <c r="D653" s="1">
        <v>42369</v>
      </c>
      <c r="E653" s="2">
        <v>5576000000</v>
      </c>
      <c r="F653" t="s">
        <v>12</v>
      </c>
      <c r="G653" s="2">
        <v>3275000000</v>
      </c>
      <c r="H653" t="s">
        <v>12</v>
      </c>
      <c r="I653" s="2">
        <v>1320000000</v>
      </c>
      <c r="J653" t="s">
        <v>182</v>
      </c>
      <c r="K653" t="s">
        <v>183</v>
      </c>
      <c r="L653" t="e">
        <f t="shared" si="10"/>
        <v>#VALUE!</v>
      </c>
    </row>
    <row r="654" spans="1:12" x14ac:dyDescent="0.2">
      <c r="A654">
        <v>680</v>
      </c>
      <c r="B654" t="s">
        <v>268</v>
      </c>
      <c r="C654" t="s">
        <v>11</v>
      </c>
      <c r="D654" s="1">
        <v>41639</v>
      </c>
      <c r="E654" s="2">
        <v>30930000000</v>
      </c>
      <c r="F654" s="2">
        <v>25202000000</v>
      </c>
      <c r="G654" s="2">
        <v>2039000000</v>
      </c>
      <c r="H654" t="s">
        <v>12</v>
      </c>
      <c r="I654" t="s">
        <v>12</v>
      </c>
      <c r="J654" t="s">
        <v>13</v>
      </c>
      <c r="K654" t="s">
        <v>91</v>
      </c>
      <c r="L654">
        <f t="shared" si="10"/>
        <v>0.18519236986744259</v>
      </c>
    </row>
    <row r="655" spans="1:12" x14ac:dyDescent="0.2">
      <c r="A655">
        <v>681</v>
      </c>
      <c r="B655" t="s">
        <v>268</v>
      </c>
      <c r="C655" t="s">
        <v>15</v>
      </c>
      <c r="D655" s="1">
        <v>42004</v>
      </c>
      <c r="E655" s="2">
        <v>30852000000</v>
      </c>
      <c r="F655" s="2">
        <v>24979000000</v>
      </c>
      <c r="G655" s="2">
        <v>1984000000</v>
      </c>
      <c r="H655" t="s">
        <v>12</v>
      </c>
      <c r="I655" t="s">
        <v>12</v>
      </c>
      <c r="J655" t="s">
        <v>13</v>
      </c>
      <c r="K655" t="s">
        <v>91</v>
      </c>
      <c r="L655">
        <f t="shared" si="10"/>
        <v>0.19036043044211071</v>
      </c>
    </row>
    <row r="656" spans="1:12" x14ac:dyDescent="0.2">
      <c r="A656">
        <v>682</v>
      </c>
      <c r="B656" t="s">
        <v>268</v>
      </c>
      <c r="C656" t="s">
        <v>16</v>
      </c>
      <c r="D656" s="1">
        <v>42369</v>
      </c>
      <c r="E656" s="2">
        <v>31469000000</v>
      </c>
      <c r="F656" s="2">
        <v>25339000000</v>
      </c>
      <c r="G656" s="2">
        <v>1952000000</v>
      </c>
      <c r="H656" t="s">
        <v>12</v>
      </c>
      <c r="I656" t="s">
        <v>12</v>
      </c>
      <c r="J656" t="s">
        <v>13</v>
      </c>
      <c r="K656" t="s">
        <v>91</v>
      </c>
      <c r="L656">
        <f t="shared" si="10"/>
        <v>0.19479487749849056</v>
      </c>
    </row>
    <row r="657" spans="1:12" x14ac:dyDescent="0.2">
      <c r="A657">
        <v>683</v>
      </c>
      <c r="B657" t="s">
        <v>268</v>
      </c>
      <c r="C657" t="s">
        <v>17</v>
      </c>
      <c r="D657" s="1">
        <v>42735</v>
      </c>
      <c r="E657" s="2">
        <v>31353000000</v>
      </c>
      <c r="F657" s="2">
        <v>25104000000</v>
      </c>
      <c r="G657" s="2">
        <v>1940000000</v>
      </c>
      <c r="H657" t="s">
        <v>12</v>
      </c>
      <c r="I657" t="s">
        <v>12</v>
      </c>
      <c r="J657" t="s">
        <v>13</v>
      </c>
      <c r="K657" t="s">
        <v>91</v>
      </c>
      <c r="L657">
        <f t="shared" si="10"/>
        <v>0.19931107071093679</v>
      </c>
    </row>
    <row r="658" spans="1:12" x14ac:dyDescent="0.2">
      <c r="A658">
        <v>684</v>
      </c>
      <c r="B658" t="s">
        <v>269</v>
      </c>
      <c r="C658" t="s">
        <v>11</v>
      </c>
      <c r="D658" s="1">
        <v>41274</v>
      </c>
      <c r="E658" s="2">
        <v>2426301000</v>
      </c>
      <c r="F658" s="2">
        <v>800336000</v>
      </c>
      <c r="G658" s="2">
        <v>72163000</v>
      </c>
      <c r="H658" t="s">
        <v>12</v>
      </c>
      <c r="I658" s="2">
        <v>768820000</v>
      </c>
      <c r="J658" t="s">
        <v>52</v>
      </c>
      <c r="K658" t="s">
        <v>265</v>
      </c>
      <c r="L658">
        <f t="shared" si="10"/>
        <v>0.67014150346556345</v>
      </c>
    </row>
    <row r="659" spans="1:12" x14ac:dyDescent="0.2">
      <c r="A659">
        <v>685</v>
      </c>
      <c r="B659" t="s">
        <v>269</v>
      </c>
      <c r="C659" t="s">
        <v>15</v>
      </c>
      <c r="D659" s="1">
        <v>41639</v>
      </c>
      <c r="E659" s="2">
        <v>2486017000</v>
      </c>
      <c r="F659" s="2">
        <v>815095000</v>
      </c>
      <c r="G659" s="2">
        <v>76864000</v>
      </c>
      <c r="H659" t="s">
        <v>12</v>
      </c>
      <c r="I659" s="2">
        <v>749722000</v>
      </c>
      <c r="J659" t="s">
        <v>52</v>
      </c>
      <c r="K659" t="s">
        <v>265</v>
      </c>
      <c r="L659">
        <f t="shared" si="10"/>
        <v>0.67212814715265423</v>
      </c>
    </row>
    <row r="660" spans="1:12" x14ac:dyDescent="0.2">
      <c r="A660">
        <v>686</v>
      </c>
      <c r="B660" t="s">
        <v>269</v>
      </c>
      <c r="C660" t="s">
        <v>16</v>
      </c>
      <c r="D660" s="1">
        <v>42004</v>
      </c>
      <c r="E660" s="2">
        <v>2535559000</v>
      </c>
      <c r="F660" s="2">
        <v>783602000</v>
      </c>
      <c r="G660" s="2">
        <v>88705000</v>
      </c>
      <c r="H660" t="s">
        <v>12</v>
      </c>
      <c r="I660" s="2">
        <v>708406000</v>
      </c>
      <c r="J660" t="s">
        <v>52</v>
      </c>
      <c r="K660" t="s">
        <v>265</v>
      </c>
      <c r="L660">
        <f t="shared" si="10"/>
        <v>0.69095493340916148</v>
      </c>
    </row>
    <row r="661" spans="1:12" x14ac:dyDescent="0.2">
      <c r="A661">
        <v>687</v>
      </c>
      <c r="B661" t="s">
        <v>269</v>
      </c>
      <c r="C661" t="s">
        <v>17</v>
      </c>
      <c r="D661" s="1">
        <v>42369</v>
      </c>
      <c r="E661" s="2">
        <v>2403906000</v>
      </c>
      <c r="F661" s="2">
        <v>747276000</v>
      </c>
      <c r="G661" s="2">
        <v>72363000</v>
      </c>
      <c r="H661" t="s">
        <v>12</v>
      </c>
      <c r="I661" s="2">
        <v>643689000</v>
      </c>
      <c r="J661" t="s">
        <v>52</v>
      </c>
      <c r="K661" t="s">
        <v>265</v>
      </c>
      <c r="L661">
        <f t="shared" si="10"/>
        <v>0.68914092314757736</v>
      </c>
    </row>
    <row r="662" spans="1:12" x14ac:dyDescent="0.2">
      <c r="A662">
        <v>688</v>
      </c>
      <c r="B662" t="s">
        <v>270</v>
      </c>
      <c r="C662" t="s">
        <v>11</v>
      </c>
      <c r="D662" s="1">
        <v>41274</v>
      </c>
      <c r="E662" s="2">
        <v>9702000000</v>
      </c>
      <c r="F662" s="2">
        <v>2471000000</v>
      </c>
      <c r="G662" s="2">
        <v>1461000000</v>
      </c>
      <c r="H662" s="2">
        <v>1760000000</v>
      </c>
      <c r="I662" t="s">
        <v>12</v>
      </c>
      <c r="J662" t="s">
        <v>25</v>
      </c>
      <c r="K662" t="s">
        <v>66</v>
      </c>
      <c r="L662">
        <f t="shared" si="10"/>
        <v>0.74531024531024537</v>
      </c>
    </row>
    <row r="663" spans="1:12" x14ac:dyDescent="0.2">
      <c r="A663">
        <v>689</v>
      </c>
      <c r="B663" t="s">
        <v>270</v>
      </c>
      <c r="C663" t="s">
        <v>15</v>
      </c>
      <c r="D663" s="1">
        <v>41639</v>
      </c>
      <c r="E663" s="2">
        <v>11202000000</v>
      </c>
      <c r="F663" s="2">
        <v>2859000000</v>
      </c>
      <c r="G663" s="2">
        <v>1699000000</v>
      </c>
      <c r="H663" s="2">
        <v>2120000000</v>
      </c>
      <c r="I663" t="s">
        <v>12</v>
      </c>
      <c r="J663" t="s">
        <v>25</v>
      </c>
      <c r="K663" t="s">
        <v>66</v>
      </c>
      <c r="L663">
        <f t="shared" si="10"/>
        <v>0.7447777182645956</v>
      </c>
    </row>
    <row r="664" spans="1:12" x14ac:dyDescent="0.2">
      <c r="A664">
        <v>690</v>
      </c>
      <c r="B664" t="s">
        <v>270</v>
      </c>
      <c r="C664" t="s">
        <v>16</v>
      </c>
      <c r="D664" s="1">
        <v>42004</v>
      </c>
      <c r="E664" s="2">
        <v>24890000000</v>
      </c>
      <c r="F664" s="2">
        <v>3788000000</v>
      </c>
      <c r="G664" s="2">
        <v>2983000000</v>
      </c>
      <c r="H664" s="2">
        <v>2854000000</v>
      </c>
      <c r="I664" t="s">
        <v>12</v>
      </c>
      <c r="J664" t="s">
        <v>25</v>
      </c>
      <c r="K664" t="s">
        <v>66</v>
      </c>
      <c r="L664">
        <f t="shared" si="10"/>
        <v>0.84781036560867817</v>
      </c>
    </row>
    <row r="665" spans="1:12" x14ac:dyDescent="0.2">
      <c r="A665">
        <v>691</v>
      </c>
      <c r="B665" t="s">
        <v>270</v>
      </c>
      <c r="C665" t="s">
        <v>17</v>
      </c>
      <c r="D665" s="1">
        <v>42369</v>
      </c>
      <c r="E665" s="2">
        <v>32639000000</v>
      </c>
      <c r="F665" s="2">
        <v>4006000000</v>
      </c>
      <c r="G665" s="2">
        <v>3426000000</v>
      </c>
      <c r="H665" s="2">
        <v>3014000000</v>
      </c>
      <c r="I665" t="s">
        <v>12</v>
      </c>
      <c r="J665" t="s">
        <v>25</v>
      </c>
      <c r="K665" t="s">
        <v>66</v>
      </c>
      <c r="L665">
        <f t="shared" si="10"/>
        <v>0.87726339655013941</v>
      </c>
    </row>
    <row r="666" spans="1:12" x14ac:dyDescent="0.2">
      <c r="A666">
        <v>692</v>
      </c>
      <c r="B666" t="s">
        <v>271</v>
      </c>
      <c r="C666" t="s">
        <v>11</v>
      </c>
      <c r="D666" s="1">
        <v>41420</v>
      </c>
      <c r="E666" s="2">
        <v>17774100000</v>
      </c>
      <c r="F666" s="2">
        <v>11350200000</v>
      </c>
      <c r="G666" s="2">
        <v>3552300000</v>
      </c>
      <c r="H666" t="s">
        <v>12</v>
      </c>
      <c r="I666" t="s">
        <v>12</v>
      </c>
      <c r="J666" t="s">
        <v>36</v>
      </c>
      <c r="K666" t="s">
        <v>124</v>
      </c>
      <c r="L666">
        <f t="shared" si="10"/>
        <v>0.36141914358532923</v>
      </c>
    </row>
    <row r="667" spans="1:12" x14ac:dyDescent="0.2">
      <c r="A667">
        <v>693</v>
      </c>
      <c r="B667" t="s">
        <v>271</v>
      </c>
      <c r="C667" t="s">
        <v>15</v>
      </c>
      <c r="D667" s="1">
        <v>41784</v>
      </c>
      <c r="E667" s="2">
        <v>17909600000</v>
      </c>
      <c r="F667" s="2">
        <v>11539800000</v>
      </c>
      <c r="G667" s="2">
        <v>3474300000</v>
      </c>
      <c r="H667" t="s">
        <v>12</v>
      </c>
      <c r="I667" t="s">
        <v>12</v>
      </c>
      <c r="J667" t="s">
        <v>36</v>
      </c>
      <c r="K667" t="s">
        <v>124</v>
      </c>
      <c r="L667">
        <f t="shared" si="10"/>
        <v>0.35566400142940102</v>
      </c>
    </row>
    <row r="668" spans="1:12" x14ac:dyDescent="0.2">
      <c r="A668">
        <v>694</v>
      </c>
      <c r="B668" t="s">
        <v>271</v>
      </c>
      <c r="C668" t="s">
        <v>16</v>
      </c>
      <c r="D668" s="1">
        <v>42155</v>
      </c>
      <c r="E668" s="2">
        <v>17630300000</v>
      </c>
      <c r="F668" s="2">
        <v>11681100000</v>
      </c>
      <c r="G668" s="2">
        <v>3328000000</v>
      </c>
      <c r="H668" t="s">
        <v>12</v>
      </c>
      <c r="I668" t="s">
        <v>12</v>
      </c>
      <c r="J668" t="s">
        <v>36</v>
      </c>
      <c r="K668" t="s">
        <v>124</v>
      </c>
      <c r="L668">
        <f t="shared" si="10"/>
        <v>0.33744179055376256</v>
      </c>
    </row>
    <row r="669" spans="1:12" x14ac:dyDescent="0.2">
      <c r="A669">
        <v>695</v>
      </c>
      <c r="B669" t="s">
        <v>271</v>
      </c>
      <c r="C669" t="s">
        <v>17</v>
      </c>
      <c r="D669" s="1">
        <v>42519</v>
      </c>
      <c r="E669" s="2">
        <v>16563100000</v>
      </c>
      <c r="F669" s="2">
        <v>10733600000</v>
      </c>
      <c r="G669" s="2">
        <v>3118900000</v>
      </c>
      <c r="H669" t="s">
        <v>12</v>
      </c>
      <c r="I669" t="s">
        <v>12</v>
      </c>
      <c r="J669" t="s">
        <v>36</v>
      </c>
      <c r="K669" t="s">
        <v>124</v>
      </c>
      <c r="L669">
        <f t="shared" si="10"/>
        <v>0.35195706117816106</v>
      </c>
    </row>
    <row r="670" spans="1:12" x14ac:dyDescent="0.2">
      <c r="A670">
        <v>696</v>
      </c>
      <c r="B670" t="s">
        <v>272</v>
      </c>
      <c r="C670" t="s">
        <v>11</v>
      </c>
      <c r="D670" s="1">
        <v>41639</v>
      </c>
      <c r="E670" s="2">
        <v>7819000000</v>
      </c>
      <c r="F670" s="2">
        <v>4495000000</v>
      </c>
      <c r="G670" s="2">
        <v>1126000000</v>
      </c>
      <c r="H670" s="2">
        <v>710000000</v>
      </c>
      <c r="I670" s="2">
        <v>31000000</v>
      </c>
      <c r="J670" t="s">
        <v>22</v>
      </c>
      <c r="K670" t="s">
        <v>89</v>
      </c>
      <c r="L670">
        <f t="shared" si="10"/>
        <v>0.42511830157309116</v>
      </c>
    </row>
    <row r="671" spans="1:12" x14ac:dyDescent="0.2">
      <c r="A671">
        <v>697</v>
      </c>
      <c r="B671" t="s">
        <v>272</v>
      </c>
      <c r="C671" t="s">
        <v>15</v>
      </c>
      <c r="D671" s="1">
        <v>42004</v>
      </c>
      <c r="E671" s="2">
        <v>9715000000</v>
      </c>
      <c r="F671" s="2">
        <v>5663000000</v>
      </c>
      <c r="G671" s="2">
        <v>1202000000</v>
      </c>
      <c r="H671" s="2">
        <v>815000000</v>
      </c>
      <c r="I671" s="2">
        <v>33000000</v>
      </c>
      <c r="J671" t="s">
        <v>22</v>
      </c>
      <c r="K671" t="s">
        <v>89</v>
      </c>
      <c r="L671">
        <f t="shared" si="10"/>
        <v>0.41708697889861035</v>
      </c>
    </row>
    <row r="672" spans="1:12" x14ac:dyDescent="0.2">
      <c r="A672">
        <v>698</v>
      </c>
      <c r="B672" t="s">
        <v>272</v>
      </c>
      <c r="C672" t="s">
        <v>16</v>
      </c>
      <c r="D672" s="1">
        <v>42369</v>
      </c>
      <c r="E672" s="2">
        <v>9111000000</v>
      </c>
      <c r="F672" s="2">
        <v>5458000000</v>
      </c>
      <c r="G672" s="2">
        <v>1508000000</v>
      </c>
      <c r="H672" s="2">
        <v>769000000</v>
      </c>
      <c r="I672" s="2">
        <v>54000000</v>
      </c>
      <c r="J672" t="s">
        <v>22</v>
      </c>
      <c r="K672" t="s">
        <v>89</v>
      </c>
      <c r="L672">
        <f t="shared" si="10"/>
        <v>0.40094391395017015</v>
      </c>
    </row>
    <row r="673" spans="1:12" x14ac:dyDescent="0.2">
      <c r="A673">
        <v>699</v>
      </c>
      <c r="B673" t="s">
        <v>272</v>
      </c>
      <c r="C673" t="s">
        <v>17</v>
      </c>
      <c r="D673" s="1">
        <v>42735</v>
      </c>
      <c r="E673" s="2">
        <v>9390000000</v>
      </c>
      <c r="F673" s="2">
        <v>5644000000</v>
      </c>
      <c r="G673" s="2">
        <v>1472000000</v>
      </c>
      <c r="H673" s="2">
        <v>742000000</v>
      </c>
      <c r="I673" s="2">
        <v>64000000</v>
      </c>
      <c r="J673" t="s">
        <v>22</v>
      </c>
      <c r="K673" t="s">
        <v>89</v>
      </c>
      <c r="L673">
        <f t="shared" si="10"/>
        <v>0.39893503727369539</v>
      </c>
    </row>
    <row r="674" spans="1:12" x14ac:dyDescent="0.2">
      <c r="A674">
        <v>700</v>
      </c>
      <c r="B674" t="s">
        <v>273</v>
      </c>
      <c r="C674" t="s">
        <v>11</v>
      </c>
      <c r="D674" s="1">
        <v>41639</v>
      </c>
      <c r="E674" s="2">
        <v>155427000000</v>
      </c>
      <c r="F674" s="2">
        <v>137373000000</v>
      </c>
      <c r="G674" s="2">
        <v>12382000000</v>
      </c>
      <c r="H674" t="s">
        <v>12</v>
      </c>
      <c r="I674" t="s">
        <v>12</v>
      </c>
      <c r="J674" t="s">
        <v>19</v>
      </c>
      <c r="K674" t="s">
        <v>245</v>
      </c>
      <c r="L674">
        <f t="shared" si="10"/>
        <v>0.11615742438572452</v>
      </c>
    </row>
    <row r="675" spans="1:12" x14ac:dyDescent="0.2">
      <c r="A675">
        <v>701</v>
      </c>
      <c r="B675" t="s">
        <v>273</v>
      </c>
      <c r="C675" t="s">
        <v>15</v>
      </c>
      <c r="D675" s="1">
        <v>42004</v>
      </c>
      <c r="E675" s="2">
        <v>155929000000</v>
      </c>
      <c r="F675" s="2">
        <v>142121000000</v>
      </c>
      <c r="G675" s="2">
        <v>12158000000</v>
      </c>
      <c r="H675" t="s">
        <v>12</v>
      </c>
      <c r="I675" t="s">
        <v>12</v>
      </c>
      <c r="J675" t="s">
        <v>19</v>
      </c>
      <c r="K675" t="s">
        <v>245</v>
      </c>
      <c r="L675">
        <f t="shared" si="10"/>
        <v>8.8553123536994405E-2</v>
      </c>
    </row>
    <row r="676" spans="1:12" x14ac:dyDescent="0.2">
      <c r="A676">
        <v>702</v>
      </c>
      <c r="B676" t="s">
        <v>273</v>
      </c>
      <c r="C676" t="s">
        <v>16</v>
      </c>
      <c r="D676" s="1">
        <v>42369</v>
      </c>
      <c r="E676" s="2">
        <v>152356000000</v>
      </c>
      <c r="F676" s="2">
        <v>134054000000</v>
      </c>
      <c r="G676" s="2">
        <v>13405000000</v>
      </c>
      <c r="H676" t="s">
        <v>12</v>
      </c>
      <c r="I676" t="s">
        <v>12</v>
      </c>
      <c r="J676" t="s">
        <v>19</v>
      </c>
      <c r="K676" t="s">
        <v>245</v>
      </c>
      <c r="L676">
        <f t="shared" si="10"/>
        <v>0.12012654572186199</v>
      </c>
    </row>
    <row r="677" spans="1:12" x14ac:dyDescent="0.2">
      <c r="A677">
        <v>703</v>
      </c>
      <c r="B677" t="s">
        <v>273</v>
      </c>
      <c r="C677" t="s">
        <v>17</v>
      </c>
      <c r="D677" s="1">
        <v>42735</v>
      </c>
      <c r="E677" s="2">
        <v>166380000000</v>
      </c>
      <c r="F677" s="2">
        <v>145125000000</v>
      </c>
      <c r="G677" s="2">
        <v>11710000000</v>
      </c>
      <c r="H677" t="s">
        <v>12</v>
      </c>
      <c r="I677" t="s">
        <v>12</v>
      </c>
      <c r="J677" t="s">
        <v>19</v>
      </c>
      <c r="K677" t="s">
        <v>245</v>
      </c>
      <c r="L677">
        <f t="shared" si="10"/>
        <v>0.12774972953479991</v>
      </c>
    </row>
    <row r="678" spans="1:12" x14ac:dyDescent="0.2">
      <c r="A678">
        <v>704</v>
      </c>
      <c r="B678" t="s">
        <v>274</v>
      </c>
      <c r="C678" t="s">
        <v>11</v>
      </c>
      <c r="D678" s="1">
        <v>41274</v>
      </c>
      <c r="E678" s="2">
        <v>13013868000</v>
      </c>
      <c r="F678" s="2">
        <v>9235777000</v>
      </c>
      <c r="G678" s="2">
        <v>2656530000</v>
      </c>
      <c r="H678" t="s">
        <v>12</v>
      </c>
      <c r="I678" s="2">
        <v>98383000</v>
      </c>
      <c r="J678" t="s">
        <v>19</v>
      </c>
      <c r="K678" t="s">
        <v>79</v>
      </c>
      <c r="L678">
        <f t="shared" si="10"/>
        <v>0.29031268797255361</v>
      </c>
    </row>
    <row r="679" spans="1:12" x14ac:dyDescent="0.2">
      <c r="A679">
        <v>705</v>
      </c>
      <c r="B679" t="s">
        <v>274</v>
      </c>
      <c r="C679" t="s">
        <v>15</v>
      </c>
      <c r="D679" s="1">
        <v>41639</v>
      </c>
      <c r="E679" s="2">
        <v>14077843000</v>
      </c>
      <c r="F679" s="2">
        <v>9857923000</v>
      </c>
      <c r="G679" s="2">
        <v>3028028000</v>
      </c>
      <c r="H679" t="s">
        <v>12</v>
      </c>
      <c r="I679" s="2">
        <v>133957000</v>
      </c>
      <c r="J679" t="s">
        <v>19</v>
      </c>
      <c r="K679" t="s">
        <v>79</v>
      </c>
      <c r="L679">
        <f t="shared" si="10"/>
        <v>0.29975614872249956</v>
      </c>
    </row>
    <row r="680" spans="1:12" x14ac:dyDescent="0.2">
      <c r="A680">
        <v>706</v>
      </c>
      <c r="B680" t="s">
        <v>274</v>
      </c>
      <c r="C680" t="s">
        <v>16</v>
      </c>
      <c r="D680" s="1">
        <v>42004</v>
      </c>
      <c r="E680" s="2">
        <v>15341647000</v>
      </c>
      <c r="F680" s="2">
        <v>10747886000</v>
      </c>
      <c r="G680" s="2">
        <v>3314030000</v>
      </c>
      <c r="H680" t="s">
        <v>12</v>
      </c>
      <c r="I680" s="2">
        <v>148313000</v>
      </c>
      <c r="J680" t="s">
        <v>19</v>
      </c>
      <c r="K680" t="s">
        <v>79</v>
      </c>
      <c r="L680">
        <f t="shared" si="10"/>
        <v>0.29943075864019031</v>
      </c>
    </row>
    <row r="681" spans="1:12" x14ac:dyDescent="0.2">
      <c r="A681">
        <v>707</v>
      </c>
      <c r="B681" t="s">
        <v>274</v>
      </c>
      <c r="C681" t="s">
        <v>17</v>
      </c>
      <c r="D681" s="1">
        <v>42369</v>
      </c>
      <c r="E681" s="2">
        <v>15280044000</v>
      </c>
      <c r="F681" s="2">
        <v>10724192000</v>
      </c>
      <c r="G681" s="2">
        <v>3277390000</v>
      </c>
      <c r="H681" t="s">
        <v>12</v>
      </c>
      <c r="I681" s="2">
        <v>141675000</v>
      </c>
      <c r="J681" t="s">
        <v>19</v>
      </c>
      <c r="K681" t="s">
        <v>79</v>
      </c>
      <c r="L681">
        <f t="shared" si="10"/>
        <v>0.29815699483587876</v>
      </c>
    </row>
    <row r="682" spans="1:12" x14ac:dyDescent="0.2">
      <c r="A682">
        <v>708</v>
      </c>
      <c r="B682" t="s">
        <v>275</v>
      </c>
      <c r="C682" t="s">
        <v>11</v>
      </c>
      <c r="D682" s="1">
        <v>41425</v>
      </c>
      <c r="E682" s="2">
        <v>2375923000</v>
      </c>
      <c r="F682" s="2">
        <v>862075000</v>
      </c>
      <c r="G682" s="2">
        <v>1156635000</v>
      </c>
      <c r="H682" t="s">
        <v>12</v>
      </c>
      <c r="I682" t="s">
        <v>12</v>
      </c>
      <c r="J682" t="s">
        <v>22</v>
      </c>
      <c r="K682" t="s">
        <v>39</v>
      </c>
      <c r="L682">
        <f t="shared" si="10"/>
        <v>0.63716206291197142</v>
      </c>
    </row>
    <row r="683" spans="1:12" x14ac:dyDescent="0.2">
      <c r="A683">
        <v>709</v>
      </c>
      <c r="B683" t="s">
        <v>275</v>
      </c>
      <c r="C683" t="s">
        <v>15</v>
      </c>
      <c r="D683" s="1">
        <v>41790</v>
      </c>
      <c r="E683" s="2">
        <v>2554236000</v>
      </c>
      <c r="F683" s="2">
        <v>952225000</v>
      </c>
      <c r="G683" s="2">
        <v>1196512000</v>
      </c>
      <c r="H683" t="s">
        <v>12</v>
      </c>
      <c r="I683" t="s">
        <v>12</v>
      </c>
      <c r="J683" t="s">
        <v>22</v>
      </c>
      <c r="K683" t="s">
        <v>39</v>
      </c>
      <c r="L683">
        <f t="shared" si="10"/>
        <v>0.62719772174536725</v>
      </c>
    </row>
    <row r="684" spans="1:12" x14ac:dyDescent="0.2">
      <c r="A684">
        <v>710</v>
      </c>
      <c r="B684" t="s">
        <v>275</v>
      </c>
      <c r="C684" t="s">
        <v>16</v>
      </c>
      <c r="D684" s="1">
        <v>42155</v>
      </c>
      <c r="E684" s="2">
        <v>2773718000</v>
      </c>
      <c r="F684" s="2">
        <v>1022107000</v>
      </c>
      <c r="G684" s="2">
        <v>1295014000</v>
      </c>
      <c r="H684" t="s">
        <v>12</v>
      </c>
      <c r="I684" t="s">
        <v>12</v>
      </c>
      <c r="J684" t="s">
        <v>22</v>
      </c>
      <c r="K684" t="s">
        <v>39</v>
      </c>
      <c r="L684">
        <f t="shared" si="10"/>
        <v>0.63150291413907256</v>
      </c>
    </row>
    <row r="685" spans="1:12" x14ac:dyDescent="0.2">
      <c r="A685">
        <v>711</v>
      </c>
      <c r="B685" t="s">
        <v>275</v>
      </c>
      <c r="C685" t="s">
        <v>17</v>
      </c>
      <c r="D685" s="1">
        <v>42521</v>
      </c>
      <c r="E685" s="2">
        <v>2898150000</v>
      </c>
      <c r="F685" s="2">
        <v>1147639000</v>
      </c>
      <c r="G685" s="2">
        <v>1325567000</v>
      </c>
      <c r="H685" t="s">
        <v>12</v>
      </c>
      <c r="I685" t="s">
        <v>12</v>
      </c>
      <c r="J685" t="s">
        <v>22</v>
      </c>
      <c r="K685" t="s">
        <v>39</v>
      </c>
      <c r="L685">
        <f t="shared" si="10"/>
        <v>0.60400979935476085</v>
      </c>
    </row>
    <row r="686" spans="1:12" x14ac:dyDescent="0.2">
      <c r="A686">
        <v>712</v>
      </c>
      <c r="B686" t="s">
        <v>276</v>
      </c>
      <c r="C686" t="s">
        <v>11</v>
      </c>
      <c r="D686" s="1">
        <v>41307</v>
      </c>
      <c r="E686" s="2">
        <v>15651000000</v>
      </c>
      <c r="F686" s="2">
        <v>9480000000</v>
      </c>
      <c r="G686" t="s">
        <v>12</v>
      </c>
      <c r="H686" t="s">
        <v>12</v>
      </c>
      <c r="I686" t="s">
        <v>12</v>
      </c>
      <c r="J686" t="s">
        <v>19</v>
      </c>
      <c r="K686" t="s">
        <v>257</v>
      </c>
      <c r="L686">
        <f t="shared" si="10"/>
        <v>0.3942879049262028</v>
      </c>
    </row>
    <row r="687" spans="1:12" x14ac:dyDescent="0.2">
      <c r="A687">
        <v>713</v>
      </c>
      <c r="B687" t="s">
        <v>276</v>
      </c>
      <c r="C687" t="s">
        <v>15</v>
      </c>
      <c r="D687" s="1">
        <v>41671</v>
      </c>
      <c r="E687" s="2">
        <v>16148000000</v>
      </c>
      <c r="F687" s="2">
        <v>9855000000</v>
      </c>
      <c r="G687" t="s">
        <v>12</v>
      </c>
      <c r="H687" t="s">
        <v>12</v>
      </c>
      <c r="I687" t="s">
        <v>12</v>
      </c>
      <c r="J687" t="s">
        <v>19</v>
      </c>
      <c r="K687" t="s">
        <v>257</v>
      </c>
      <c r="L687">
        <f t="shared" si="10"/>
        <v>0.38970770374040131</v>
      </c>
    </row>
    <row r="688" spans="1:12" x14ac:dyDescent="0.2">
      <c r="A688">
        <v>714</v>
      </c>
      <c r="B688" t="s">
        <v>276</v>
      </c>
      <c r="C688" t="s">
        <v>16</v>
      </c>
      <c r="D688" s="1">
        <v>42035</v>
      </c>
      <c r="E688" s="2">
        <v>16435000000</v>
      </c>
      <c r="F688" s="2">
        <v>10146000000</v>
      </c>
      <c r="G688" t="s">
        <v>12</v>
      </c>
      <c r="H688" t="s">
        <v>12</v>
      </c>
      <c r="I688" t="s">
        <v>12</v>
      </c>
      <c r="J688" t="s">
        <v>19</v>
      </c>
      <c r="K688" t="s">
        <v>257</v>
      </c>
      <c r="L688">
        <f t="shared" si="10"/>
        <v>0.38265895953757223</v>
      </c>
    </row>
    <row r="689" spans="1:12" x14ac:dyDescent="0.2">
      <c r="A689">
        <v>715</v>
      </c>
      <c r="B689" t="s">
        <v>276</v>
      </c>
      <c r="C689" t="s">
        <v>17</v>
      </c>
      <c r="D689" s="1">
        <v>42399</v>
      </c>
      <c r="E689" s="2">
        <v>15797000000</v>
      </c>
      <c r="F689" s="2">
        <v>10077000000</v>
      </c>
      <c r="G689" t="s">
        <v>12</v>
      </c>
      <c r="H689" t="s">
        <v>12</v>
      </c>
      <c r="I689" t="s">
        <v>12</v>
      </c>
      <c r="J689" t="s">
        <v>19</v>
      </c>
      <c r="K689" t="s">
        <v>257</v>
      </c>
      <c r="L689">
        <f t="shared" si="10"/>
        <v>0.36209406849401782</v>
      </c>
    </row>
    <row r="690" spans="1:12" x14ac:dyDescent="0.2">
      <c r="A690">
        <v>716</v>
      </c>
      <c r="B690" t="s">
        <v>277</v>
      </c>
      <c r="C690" t="s">
        <v>11</v>
      </c>
      <c r="D690" s="1">
        <v>41272</v>
      </c>
      <c r="E690" s="2">
        <v>2715675000</v>
      </c>
      <c r="F690" s="2">
        <v>1277195000</v>
      </c>
      <c r="G690" s="2">
        <v>508547000</v>
      </c>
      <c r="H690" s="2">
        <v>325773000</v>
      </c>
      <c r="I690" t="s">
        <v>12</v>
      </c>
      <c r="J690" t="s">
        <v>19</v>
      </c>
      <c r="K690" t="s">
        <v>278</v>
      </c>
      <c r="L690">
        <f t="shared" si="10"/>
        <v>0.52969519548546862</v>
      </c>
    </row>
    <row r="691" spans="1:12" x14ac:dyDescent="0.2">
      <c r="A691">
        <v>717</v>
      </c>
      <c r="B691" t="s">
        <v>277</v>
      </c>
      <c r="C691" t="s">
        <v>15</v>
      </c>
      <c r="D691" s="1">
        <v>41636</v>
      </c>
      <c r="E691" s="2">
        <v>2631851000</v>
      </c>
      <c r="F691" s="2">
        <v>1224551000</v>
      </c>
      <c r="G691" s="2">
        <v>468345000</v>
      </c>
      <c r="H691" s="2">
        <v>364923000</v>
      </c>
      <c r="I691" t="s">
        <v>12</v>
      </c>
      <c r="J691" t="s">
        <v>19</v>
      </c>
      <c r="K691" t="s">
        <v>278</v>
      </c>
      <c r="L691">
        <f t="shared" si="10"/>
        <v>0.53471872077864591</v>
      </c>
    </row>
    <row r="692" spans="1:12" x14ac:dyDescent="0.2">
      <c r="A692">
        <v>718</v>
      </c>
      <c r="B692" t="s">
        <v>277</v>
      </c>
      <c r="C692" t="s">
        <v>16</v>
      </c>
      <c r="D692" s="1">
        <v>42000</v>
      </c>
      <c r="E692" s="2">
        <v>2870658000</v>
      </c>
      <c r="F692" s="2">
        <v>1266246000</v>
      </c>
      <c r="G692" s="2">
        <v>518665000</v>
      </c>
      <c r="H692" s="2">
        <v>395121000</v>
      </c>
      <c r="I692" t="s">
        <v>12</v>
      </c>
      <c r="J692" t="s">
        <v>19</v>
      </c>
      <c r="K692" t="s">
        <v>278</v>
      </c>
      <c r="L692">
        <f t="shared" si="10"/>
        <v>0.55890043328045347</v>
      </c>
    </row>
    <row r="693" spans="1:12" x14ac:dyDescent="0.2">
      <c r="A693">
        <v>719</v>
      </c>
      <c r="B693" t="s">
        <v>277</v>
      </c>
      <c r="C693" t="s">
        <v>17</v>
      </c>
      <c r="D693" s="1">
        <v>42364</v>
      </c>
      <c r="E693" s="2">
        <v>2820270000</v>
      </c>
      <c r="F693" s="2">
        <v>1281566000</v>
      </c>
      <c r="G693" s="2">
        <v>562080000</v>
      </c>
      <c r="H693" s="2">
        <v>427043000</v>
      </c>
      <c r="I693" t="s">
        <v>12</v>
      </c>
      <c r="J693" t="s">
        <v>19</v>
      </c>
      <c r="K693" t="s">
        <v>278</v>
      </c>
      <c r="L693">
        <f t="shared" si="10"/>
        <v>0.54558747921298312</v>
      </c>
    </row>
    <row r="694" spans="1:12" x14ac:dyDescent="0.2">
      <c r="A694">
        <v>720</v>
      </c>
      <c r="B694" t="s">
        <v>279</v>
      </c>
      <c r="C694" t="s">
        <v>11</v>
      </c>
      <c r="D694" s="1">
        <v>41639</v>
      </c>
      <c r="E694" s="2">
        <v>19540000000</v>
      </c>
      <c r="F694" s="2">
        <v>15422000000</v>
      </c>
      <c r="G694" s="2">
        <v>2816000000</v>
      </c>
      <c r="H694" t="s">
        <v>12</v>
      </c>
      <c r="I694" t="s">
        <v>12</v>
      </c>
      <c r="J694" t="s">
        <v>19</v>
      </c>
      <c r="K694" t="s">
        <v>280</v>
      </c>
      <c r="L694">
        <f t="shared" si="10"/>
        <v>0.21074718526100311</v>
      </c>
    </row>
    <row r="695" spans="1:12" x14ac:dyDescent="0.2">
      <c r="A695">
        <v>721</v>
      </c>
      <c r="B695" t="s">
        <v>279</v>
      </c>
      <c r="C695" t="s">
        <v>15</v>
      </c>
      <c r="D695" s="1">
        <v>42004</v>
      </c>
      <c r="E695" s="2">
        <v>18138000000</v>
      </c>
      <c r="F695" s="2">
        <v>13906000000</v>
      </c>
      <c r="G695" s="2">
        <v>2815000000</v>
      </c>
      <c r="H695" t="s">
        <v>12</v>
      </c>
      <c r="I695" t="s">
        <v>12</v>
      </c>
      <c r="J695" t="s">
        <v>19</v>
      </c>
      <c r="K695" t="s">
        <v>280</v>
      </c>
      <c r="L695">
        <f t="shared" si="10"/>
        <v>0.23332230675928989</v>
      </c>
    </row>
    <row r="696" spans="1:12" x14ac:dyDescent="0.2">
      <c r="A696">
        <v>722</v>
      </c>
      <c r="B696" t="s">
        <v>279</v>
      </c>
      <c r="C696" t="s">
        <v>16</v>
      </c>
      <c r="D696" s="1">
        <v>42369</v>
      </c>
      <c r="E696" s="2">
        <v>16443000000</v>
      </c>
      <c r="F696" s="2">
        <v>12164000000</v>
      </c>
      <c r="G696" s="2">
        <v>2728000000</v>
      </c>
      <c r="H696" t="s">
        <v>12</v>
      </c>
      <c r="I696" t="s">
        <v>12</v>
      </c>
      <c r="J696" t="s">
        <v>19</v>
      </c>
      <c r="K696" t="s">
        <v>280</v>
      </c>
      <c r="L696">
        <f t="shared" si="10"/>
        <v>0.26023231770358202</v>
      </c>
    </row>
    <row r="697" spans="1:12" x14ac:dyDescent="0.2">
      <c r="A697">
        <v>723</v>
      </c>
      <c r="B697" t="s">
        <v>279</v>
      </c>
      <c r="C697" t="s">
        <v>17</v>
      </c>
      <c r="D697" s="1">
        <v>42735</v>
      </c>
      <c r="E697" s="2">
        <v>15158000000</v>
      </c>
      <c r="F697" s="2">
        <v>10972000000</v>
      </c>
      <c r="G697" s="2">
        <v>2617000000</v>
      </c>
      <c r="H697" t="s">
        <v>12</v>
      </c>
      <c r="I697" t="s">
        <v>12</v>
      </c>
      <c r="J697" t="s">
        <v>19</v>
      </c>
      <c r="K697" t="s">
        <v>280</v>
      </c>
      <c r="L697">
        <f t="shared" si="10"/>
        <v>0.27615780445969129</v>
      </c>
    </row>
    <row r="698" spans="1:12" x14ac:dyDescent="0.2">
      <c r="A698">
        <v>724</v>
      </c>
      <c r="B698" t="s">
        <v>281</v>
      </c>
      <c r="C698" t="s">
        <v>11</v>
      </c>
      <c r="D698" s="1">
        <v>41274</v>
      </c>
      <c r="E698" s="2">
        <v>8950045000</v>
      </c>
      <c r="F698" s="2">
        <v>5033885000</v>
      </c>
      <c r="G698" s="2">
        <v>2785035000</v>
      </c>
      <c r="H698" t="s">
        <v>12</v>
      </c>
      <c r="I698" t="s">
        <v>12</v>
      </c>
      <c r="J698" t="s">
        <v>13</v>
      </c>
      <c r="K698" t="s">
        <v>282</v>
      </c>
      <c r="L698">
        <f t="shared" si="10"/>
        <v>0.43755757652615157</v>
      </c>
    </row>
    <row r="699" spans="1:12" x14ac:dyDescent="0.2">
      <c r="A699">
        <v>725</v>
      </c>
      <c r="B699" t="s">
        <v>281</v>
      </c>
      <c r="C699" t="s">
        <v>15</v>
      </c>
      <c r="D699" s="1">
        <v>41639</v>
      </c>
      <c r="E699" s="2">
        <v>9437758000</v>
      </c>
      <c r="F699" s="2">
        <v>5301275000</v>
      </c>
      <c r="G699" s="2">
        <v>2839629000</v>
      </c>
      <c r="H699" t="s">
        <v>12</v>
      </c>
      <c r="I699" t="s">
        <v>12</v>
      </c>
      <c r="J699" t="s">
        <v>13</v>
      </c>
      <c r="K699" t="s">
        <v>282</v>
      </c>
      <c r="L699">
        <f t="shared" si="10"/>
        <v>0.43829085255205735</v>
      </c>
    </row>
    <row r="700" spans="1:12" x14ac:dyDescent="0.2">
      <c r="A700">
        <v>726</v>
      </c>
      <c r="B700" t="s">
        <v>281</v>
      </c>
      <c r="C700" t="s">
        <v>16</v>
      </c>
      <c r="D700" s="1">
        <v>42004</v>
      </c>
      <c r="E700" s="2">
        <v>9964953000</v>
      </c>
      <c r="F700" s="2">
        <v>5650711000</v>
      </c>
      <c r="G700" s="2">
        <v>2967125000</v>
      </c>
      <c r="H700" t="s">
        <v>12</v>
      </c>
      <c r="I700" t="s">
        <v>12</v>
      </c>
      <c r="J700" t="s">
        <v>13</v>
      </c>
      <c r="K700" t="s">
        <v>282</v>
      </c>
      <c r="L700">
        <f t="shared" si="10"/>
        <v>0.43294153018082471</v>
      </c>
    </row>
    <row r="701" spans="1:12" x14ac:dyDescent="0.2">
      <c r="A701">
        <v>727</v>
      </c>
      <c r="B701" t="s">
        <v>281</v>
      </c>
      <c r="C701" t="s">
        <v>17</v>
      </c>
      <c r="D701" s="1">
        <v>42369</v>
      </c>
      <c r="E701" s="2">
        <v>9973384000</v>
      </c>
      <c r="F701" s="2">
        <v>5741956000</v>
      </c>
      <c r="G701" s="2">
        <v>2931108000</v>
      </c>
      <c r="H701" t="s">
        <v>12</v>
      </c>
      <c r="I701" t="s">
        <v>12</v>
      </c>
      <c r="J701" t="s">
        <v>13</v>
      </c>
      <c r="K701" t="s">
        <v>282</v>
      </c>
      <c r="L701">
        <f t="shared" si="10"/>
        <v>0.42427204246823347</v>
      </c>
    </row>
    <row r="702" spans="1:12" x14ac:dyDescent="0.2">
      <c r="A702">
        <v>728</v>
      </c>
      <c r="B702" t="s">
        <v>283</v>
      </c>
      <c r="C702" t="s">
        <v>11</v>
      </c>
      <c r="D702" s="1">
        <v>41639</v>
      </c>
      <c r="E702" s="2">
        <v>29402000000</v>
      </c>
      <c r="F702" s="2">
        <v>24931000000</v>
      </c>
      <c r="G702" s="2">
        <v>1333000000</v>
      </c>
      <c r="H702" t="s">
        <v>12</v>
      </c>
      <c r="I702" t="s">
        <v>12</v>
      </c>
      <c r="J702" t="s">
        <v>83</v>
      </c>
      <c r="K702" t="s">
        <v>114</v>
      </c>
      <c r="L702">
        <f t="shared" si="10"/>
        <v>0.15206448540915585</v>
      </c>
    </row>
    <row r="703" spans="1:12" x14ac:dyDescent="0.2">
      <c r="A703">
        <v>729</v>
      </c>
      <c r="B703" t="s">
        <v>283</v>
      </c>
      <c r="C703" t="s">
        <v>15</v>
      </c>
      <c r="D703" s="1">
        <v>42004</v>
      </c>
      <c r="E703" s="2">
        <v>32870000000</v>
      </c>
      <c r="F703" s="2">
        <v>27334000000</v>
      </c>
      <c r="G703" s="2">
        <v>293000000</v>
      </c>
      <c r="H703" t="s">
        <v>12</v>
      </c>
      <c r="I703" t="s">
        <v>12</v>
      </c>
      <c r="J703" t="s">
        <v>83</v>
      </c>
      <c r="K703" t="s">
        <v>114</v>
      </c>
      <c r="L703">
        <f t="shared" si="10"/>
        <v>0.16842105263157892</v>
      </c>
    </row>
    <row r="704" spans="1:12" x14ac:dyDescent="0.2">
      <c r="A704">
        <v>730</v>
      </c>
      <c r="B704" t="s">
        <v>283</v>
      </c>
      <c r="C704" t="s">
        <v>16</v>
      </c>
      <c r="D704" s="1">
        <v>42369</v>
      </c>
      <c r="E704" s="2">
        <v>23633000000</v>
      </c>
      <c r="F704" s="2">
        <v>21113000000</v>
      </c>
      <c r="G704" s="2">
        <v>200000000</v>
      </c>
      <c r="H704" t="s">
        <v>12</v>
      </c>
      <c r="I704" t="s">
        <v>12</v>
      </c>
      <c r="J704" t="s">
        <v>83</v>
      </c>
      <c r="K704" t="s">
        <v>114</v>
      </c>
      <c r="L704">
        <f t="shared" si="10"/>
        <v>0.10663055896416029</v>
      </c>
    </row>
    <row r="705" spans="1:12" x14ac:dyDescent="0.2">
      <c r="A705">
        <v>731</v>
      </c>
      <c r="B705" t="s">
        <v>283</v>
      </c>
      <c r="C705" t="s">
        <v>17</v>
      </c>
      <c r="D705" s="1">
        <v>42735</v>
      </c>
      <c r="E705" s="2">
        <v>15887000000</v>
      </c>
      <c r="F705" s="2">
        <v>15023000000</v>
      </c>
      <c r="G705" s="2">
        <v>228000000</v>
      </c>
      <c r="H705" t="s">
        <v>12</v>
      </c>
      <c r="I705" t="s">
        <v>12</v>
      </c>
      <c r="J705" t="s">
        <v>83</v>
      </c>
      <c r="K705" t="s">
        <v>114</v>
      </c>
      <c r="L705">
        <f t="shared" si="10"/>
        <v>5.4384087618807864E-2</v>
      </c>
    </row>
    <row r="706" spans="1:12" x14ac:dyDescent="0.2">
      <c r="A706">
        <v>732</v>
      </c>
      <c r="B706" t="s">
        <v>284</v>
      </c>
      <c r="C706" t="s">
        <v>11</v>
      </c>
      <c r="D706" s="1">
        <v>41455</v>
      </c>
      <c r="E706" s="2">
        <v>4297842000</v>
      </c>
      <c r="F706" s="2">
        <v>3193722000</v>
      </c>
      <c r="G706" s="2">
        <v>902869000</v>
      </c>
      <c r="H706" t="s">
        <v>12</v>
      </c>
      <c r="I706" t="s">
        <v>12</v>
      </c>
      <c r="J706" t="s">
        <v>19</v>
      </c>
      <c r="K706" t="s">
        <v>278</v>
      </c>
      <c r="L706">
        <f t="shared" si="10"/>
        <v>0.25690102148938931</v>
      </c>
    </row>
    <row r="707" spans="1:12" x14ac:dyDescent="0.2">
      <c r="A707">
        <v>733</v>
      </c>
      <c r="B707" t="s">
        <v>284</v>
      </c>
      <c r="C707" t="s">
        <v>15</v>
      </c>
      <c r="D707" s="1">
        <v>41820</v>
      </c>
      <c r="E707" s="2">
        <v>5348483000</v>
      </c>
      <c r="F707" s="2">
        <v>3891816000</v>
      </c>
      <c r="G707" s="2">
        <v>1126940000</v>
      </c>
      <c r="H707" t="s">
        <v>12</v>
      </c>
      <c r="I707" t="s">
        <v>12</v>
      </c>
      <c r="J707" t="s">
        <v>19</v>
      </c>
      <c r="K707" t="s">
        <v>278</v>
      </c>
      <c r="L707">
        <f t="shared" ref="L707:L770" si="11">1-F707/E707</f>
        <v>0.27235143123760508</v>
      </c>
    </row>
    <row r="708" spans="1:12" x14ac:dyDescent="0.2">
      <c r="A708">
        <v>734</v>
      </c>
      <c r="B708" t="s">
        <v>284</v>
      </c>
      <c r="C708" t="s">
        <v>16</v>
      </c>
      <c r="D708" s="1">
        <v>42185</v>
      </c>
      <c r="E708" s="2">
        <v>6155297000</v>
      </c>
      <c r="F708" s="2">
        <v>4338193000</v>
      </c>
      <c r="G708" s="2">
        <v>1347510000</v>
      </c>
      <c r="H708" t="s">
        <v>12</v>
      </c>
      <c r="I708" t="s">
        <v>12</v>
      </c>
      <c r="J708" t="s">
        <v>19</v>
      </c>
      <c r="K708" t="s">
        <v>278</v>
      </c>
      <c r="L708">
        <f t="shared" si="11"/>
        <v>0.29520980059938617</v>
      </c>
    </row>
    <row r="709" spans="1:12" x14ac:dyDescent="0.2">
      <c r="A709">
        <v>735</v>
      </c>
      <c r="B709" t="s">
        <v>284</v>
      </c>
      <c r="C709" t="s">
        <v>17</v>
      </c>
      <c r="D709" s="1">
        <v>42551</v>
      </c>
      <c r="E709" s="2">
        <v>6911676000</v>
      </c>
      <c r="F709" s="2">
        <v>4818585000</v>
      </c>
      <c r="G709" s="2">
        <v>1513064000</v>
      </c>
      <c r="H709" t="s">
        <v>12</v>
      </c>
      <c r="I709" t="s">
        <v>12</v>
      </c>
      <c r="J709" t="s">
        <v>19</v>
      </c>
      <c r="K709" t="s">
        <v>278</v>
      </c>
      <c r="L709">
        <f t="shared" si="11"/>
        <v>0.3028340738194325</v>
      </c>
    </row>
    <row r="710" spans="1:12" x14ac:dyDescent="0.2">
      <c r="A710">
        <v>736</v>
      </c>
      <c r="B710" t="s">
        <v>285</v>
      </c>
      <c r="C710" t="s">
        <v>11</v>
      </c>
      <c r="D710" s="1">
        <v>41274</v>
      </c>
      <c r="E710" s="2">
        <v>4088983000</v>
      </c>
      <c r="F710" s="2">
        <v>1671980000</v>
      </c>
      <c r="G710" s="2">
        <v>1269586000</v>
      </c>
      <c r="H710" s="2">
        <v>201197000</v>
      </c>
      <c r="I710" s="2">
        <v>92369000</v>
      </c>
      <c r="J710" t="s">
        <v>19</v>
      </c>
      <c r="K710" t="s">
        <v>286</v>
      </c>
      <c r="L710">
        <f t="shared" si="11"/>
        <v>0.59110125916395351</v>
      </c>
    </row>
    <row r="711" spans="1:12" x14ac:dyDescent="0.2">
      <c r="A711">
        <v>737</v>
      </c>
      <c r="B711" t="s">
        <v>285</v>
      </c>
      <c r="C711" t="s">
        <v>15</v>
      </c>
      <c r="D711" s="1">
        <v>41637</v>
      </c>
      <c r="E711" s="2">
        <v>4082157000</v>
      </c>
      <c r="F711" s="2">
        <v>1672901000</v>
      </c>
      <c r="G711" s="2">
        <v>1269777000</v>
      </c>
      <c r="H711" s="2">
        <v>207591000</v>
      </c>
      <c r="I711" s="2">
        <v>125876000</v>
      </c>
      <c r="J711" t="s">
        <v>19</v>
      </c>
      <c r="K711" t="s">
        <v>286</v>
      </c>
      <c r="L711">
        <f t="shared" si="11"/>
        <v>0.59019190099743835</v>
      </c>
    </row>
    <row r="712" spans="1:12" x14ac:dyDescent="0.2">
      <c r="A712">
        <v>738</v>
      </c>
      <c r="B712" t="s">
        <v>285</v>
      </c>
      <c r="C712" t="s">
        <v>16</v>
      </c>
      <c r="D712" s="1">
        <v>42001</v>
      </c>
      <c r="E712" s="2">
        <v>4277207000</v>
      </c>
      <c r="F712" s="2">
        <v>1698372000</v>
      </c>
      <c r="G712" s="2">
        <v>1315793000</v>
      </c>
      <c r="H712" s="2">
        <v>222556000</v>
      </c>
      <c r="I712" s="2">
        <v>99794000</v>
      </c>
      <c r="J712" t="s">
        <v>19</v>
      </c>
      <c r="K712" t="s">
        <v>286</v>
      </c>
      <c r="L712">
        <f t="shared" si="11"/>
        <v>0.60292499287502332</v>
      </c>
    </row>
    <row r="713" spans="1:12" x14ac:dyDescent="0.2">
      <c r="A713">
        <v>739</v>
      </c>
      <c r="B713" t="s">
        <v>285</v>
      </c>
      <c r="C713" t="s">
        <v>17</v>
      </c>
      <c r="D713" s="1">
        <v>42365</v>
      </c>
      <c r="E713" s="2">
        <v>4447509000</v>
      </c>
      <c r="F713" s="2">
        <v>1677033000</v>
      </c>
      <c r="G713" s="2">
        <v>1370183000</v>
      </c>
      <c r="H713" s="2">
        <v>242944000</v>
      </c>
      <c r="I713" s="2">
        <v>86171000</v>
      </c>
      <c r="J713" t="s">
        <v>19</v>
      </c>
      <c r="K713" t="s">
        <v>286</v>
      </c>
      <c r="L713">
        <f t="shared" si="11"/>
        <v>0.62292757586325287</v>
      </c>
    </row>
    <row r="714" spans="1:12" x14ac:dyDescent="0.2">
      <c r="A714">
        <v>740</v>
      </c>
      <c r="B714" t="s">
        <v>287</v>
      </c>
      <c r="C714" t="s">
        <v>11</v>
      </c>
      <c r="D714" s="1">
        <v>41274</v>
      </c>
      <c r="E714" s="2">
        <v>3036584000</v>
      </c>
      <c r="F714" s="2">
        <v>162167000</v>
      </c>
      <c r="G714" s="2">
        <v>1789327000</v>
      </c>
      <c r="H714" t="s">
        <v>12</v>
      </c>
      <c r="I714" s="2">
        <v>193937000</v>
      </c>
      <c r="J714" t="s">
        <v>47</v>
      </c>
      <c r="K714" t="s">
        <v>105</v>
      </c>
      <c r="L714">
        <f t="shared" si="11"/>
        <v>0.94659558240443864</v>
      </c>
    </row>
    <row r="715" spans="1:12" x14ac:dyDescent="0.2">
      <c r="A715">
        <v>741</v>
      </c>
      <c r="B715" t="s">
        <v>287</v>
      </c>
      <c r="C715" t="s">
        <v>15</v>
      </c>
      <c r="D715" s="1">
        <v>41639</v>
      </c>
      <c r="E715" s="2">
        <v>2872833000</v>
      </c>
      <c r="F715" s="2">
        <v>116241000</v>
      </c>
      <c r="G715" s="2">
        <v>1716639000</v>
      </c>
      <c r="H715" t="s">
        <v>12</v>
      </c>
      <c r="I715" s="2">
        <v>131409000</v>
      </c>
      <c r="J715" t="s">
        <v>47</v>
      </c>
      <c r="K715" t="s">
        <v>105</v>
      </c>
      <c r="L715">
        <f t="shared" si="11"/>
        <v>0.95953784992027036</v>
      </c>
    </row>
    <row r="716" spans="1:12" x14ac:dyDescent="0.2">
      <c r="A716">
        <v>742</v>
      </c>
      <c r="B716" t="s">
        <v>287</v>
      </c>
      <c r="C716" t="s">
        <v>16</v>
      </c>
      <c r="D716" s="1">
        <v>42004</v>
      </c>
      <c r="E716" s="2">
        <v>2955641000</v>
      </c>
      <c r="F716" s="2">
        <v>86453000</v>
      </c>
      <c r="G716" s="2">
        <v>1843069000</v>
      </c>
      <c r="H716" t="s">
        <v>12</v>
      </c>
      <c r="I716" s="2">
        <v>120266000</v>
      </c>
      <c r="J716" t="s">
        <v>47</v>
      </c>
      <c r="K716" t="s">
        <v>105</v>
      </c>
      <c r="L716">
        <f t="shared" si="11"/>
        <v>0.97074983057820619</v>
      </c>
    </row>
    <row r="717" spans="1:12" x14ac:dyDescent="0.2">
      <c r="A717">
        <v>743</v>
      </c>
      <c r="B717" t="s">
        <v>287</v>
      </c>
      <c r="C717" t="s">
        <v>17</v>
      </c>
      <c r="D717" s="1">
        <v>42369</v>
      </c>
      <c r="E717" s="2">
        <v>3153251000</v>
      </c>
      <c r="F717" s="2">
        <v>82175000</v>
      </c>
      <c r="G717" s="2">
        <v>1948041000</v>
      </c>
      <c r="H717" t="s">
        <v>12</v>
      </c>
      <c r="I717" s="2">
        <v>127821000</v>
      </c>
      <c r="J717" t="s">
        <v>47</v>
      </c>
      <c r="K717" t="s">
        <v>105</v>
      </c>
      <c r="L717">
        <f t="shared" si="11"/>
        <v>0.9739395944059005</v>
      </c>
    </row>
    <row r="718" spans="1:12" x14ac:dyDescent="0.2">
      <c r="A718">
        <v>744</v>
      </c>
      <c r="B718" t="s">
        <v>288</v>
      </c>
      <c r="C718" t="s">
        <v>11</v>
      </c>
      <c r="D718" s="1">
        <v>41636</v>
      </c>
      <c r="E718" s="2">
        <v>4627802000</v>
      </c>
      <c r="F718" s="2">
        <v>3016109000</v>
      </c>
      <c r="G718" s="2">
        <v>1096507000</v>
      </c>
      <c r="H718" t="s">
        <v>12</v>
      </c>
      <c r="I718" t="s">
        <v>12</v>
      </c>
      <c r="J718" t="s">
        <v>19</v>
      </c>
      <c r="K718" t="s">
        <v>289</v>
      </c>
      <c r="L718">
        <f t="shared" si="11"/>
        <v>0.34826317115555072</v>
      </c>
    </row>
    <row r="719" spans="1:12" x14ac:dyDescent="0.2">
      <c r="A719">
        <v>745</v>
      </c>
      <c r="B719" t="s">
        <v>288</v>
      </c>
      <c r="C719" t="s">
        <v>15</v>
      </c>
      <c r="D719" s="1">
        <v>42007</v>
      </c>
      <c r="E719" s="2">
        <v>5324746000</v>
      </c>
      <c r="F719" s="2">
        <v>3420339000</v>
      </c>
      <c r="G719" s="2">
        <v>1340453000</v>
      </c>
      <c r="H719" t="s">
        <v>12</v>
      </c>
      <c r="I719" t="s">
        <v>12</v>
      </c>
      <c r="J719" t="s">
        <v>19</v>
      </c>
      <c r="K719" t="s">
        <v>289</v>
      </c>
      <c r="L719">
        <f t="shared" si="11"/>
        <v>0.35765217721183318</v>
      </c>
    </row>
    <row r="720" spans="1:12" x14ac:dyDescent="0.2">
      <c r="A720">
        <v>746</v>
      </c>
      <c r="B720" t="s">
        <v>288</v>
      </c>
      <c r="C720" t="s">
        <v>16</v>
      </c>
      <c r="D720" s="1">
        <v>42371</v>
      </c>
      <c r="E720" s="2">
        <v>5731549000</v>
      </c>
      <c r="F720" s="2">
        <v>3595217000</v>
      </c>
      <c r="G720" s="2">
        <v>1541214000</v>
      </c>
      <c r="H720" t="s">
        <v>12</v>
      </c>
      <c r="I720" t="s">
        <v>12</v>
      </c>
      <c r="J720" t="s">
        <v>19</v>
      </c>
      <c r="K720" t="s">
        <v>289</v>
      </c>
      <c r="L720">
        <f t="shared" si="11"/>
        <v>0.37273204852649777</v>
      </c>
    </row>
    <row r="721" spans="1:12" x14ac:dyDescent="0.2">
      <c r="A721">
        <v>747</v>
      </c>
      <c r="B721" t="s">
        <v>288</v>
      </c>
      <c r="C721" t="s">
        <v>17</v>
      </c>
      <c r="D721" s="1">
        <v>42735</v>
      </c>
      <c r="E721" s="2">
        <v>6028199000</v>
      </c>
      <c r="F721" s="2">
        <v>3752151000</v>
      </c>
      <c r="G721" s="2">
        <v>1500399000</v>
      </c>
      <c r="H721" t="s">
        <v>12</v>
      </c>
      <c r="I721" t="s">
        <v>12</v>
      </c>
      <c r="J721" t="s">
        <v>19</v>
      </c>
      <c r="K721" t="s">
        <v>289</v>
      </c>
      <c r="L721">
        <f t="shared" si="11"/>
        <v>0.3775668321500335</v>
      </c>
    </row>
    <row r="722" spans="1:12" x14ac:dyDescent="0.2">
      <c r="A722">
        <v>748</v>
      </c>
      <c r="B722" t="s">
        <v>290</v>
      </c>
      <c r="C722" t="s">
        <v>11</v>
      </c>
      <c r="D722" s="1">
        <v>41274</v>
      </c>
      <c r="E722" s="2">
        <v>33013000000</v>
      </c>
      <c r="F722" s="2">
        <v>5717000000</v>
      </c>
      <c r="G722" s="2">
        <v>20801000000</v>
      </c>
      <c r="H722" t="s">
        <v>12</v>
      </c>
      <c r="I722" s="2">
        <v>1679000000</v>
      </c>
      <c r="J722" t="s">
        <v>25</v>
      </c>
      <c r="K722" t="s">
        <v>199</v>
      </c>
      <c r="L722">
        <f t="shared" si="11"/>
        <v>0.8268257958985854</v>
      </c>
    </row>
    <row r="723" spans="1:12" x14ac:dyDescent="0.2">
      <c r="A723">
        <v>749</v>
      </c>
      <c r="B723" t="s">
        <v>290</v>
      </c>
      <c r="C723" t="s">
        <v>15</v>
      </c>
      <c r="D723" s="1">
        <v>41639</v>
      </c>
      <c r="E723" s="2">
        <v>34182000000</v>
      </c>
      <c r="F723" s="2">
        <v>5970000000</v>
      </c>
      <c r="G723" s="2">
        <v>21667000000</v>
      </c>
      <c r="H723" t="s">
        <v>12</v>
      </c>
      <c r="I723" s="2">
        <v>1753000000</v>
      </c>
      <c r="J723" t="s">
        <v>25</v>
      </c>
      <c r="K723" t="s">
        <v>199</v>
      </c>
      <c r="L723">
        <f t="shared" si="11"/>
        <v>0.82534667368790593</v>
      </c>
    </row>
    <row r="724" spans="1:12" x14ac:dyDescent="0.2">
      <c r="A724">
        <v>750</v>
      </c>
      <c r="B724" t="s">
        <v>290</v>
      </c>
      <c r="C724" t="s">
        <v>16</v>
      </c>
      <c r="D724" s="1">
        <v>42004</v>
      </c>
      <c r="E724" s="2">
        <v>36918000000</v>
      </c>
      <c r="F724" s="2">
        <v>6262000000</v>
      </c>
      <c r="G724" s="2">
        <v>23271000000</v>
      </c>
      <c r="H724" t="s">
        <v>12</v>
      </c>
      <c r="I724" s="2">
        <v>1820000000</v>
      </c>
      <c r="J724" t="s">
        <v>25</v>
      </c>
      <c r="K724" t="s">
        <v>199</v>
      </c>
      <c r="L724">
        <f t="shared" si="11"/>
        <v>0.83038084403272117</v>
      </c>
    </row>
    <row r="725" spans="1:12" x14ac:dyDescent="0.2">
      <c r="A725">
        <v>751</v>
      </c>
      <c r="B725" t="s">
        <v>290</v>
      </c>
      <c r="C725" t="s">
        <v>17</v>
      </c>
      <c r="D725" s="1">
        <v>42369</v>
      </c>
      <c r="E725" s="2">
        <v>39678000000</v>
      </c>
      <c r="F725" s="2">
        <v>6638000000</v>
      </c>
      <c r="G725" s="2">
        <v>25171000000</v>
      </c>
      <c r="H725" t="s">
        <v>12</v>
      </c>
      <c r="I725" s="2">
        <v>1904000000</v>
      </c>
      <c r="J725" t="s">
        <v>25</v>
      </c>
      <c r="K725" t="s">
        <v>199</v>
      </c>
      <c r="L725">
        <f t="shared" si="11"/>
        <v>0.83270326125308736</v>
      </c>
    </row>
    <row r="726" spans="1:12" x14ac:dyDescent="0.2">
      <c r="A726">
        <v>752</v>
      </c>
      <c r="B726" t="s">
        <v>291</v>
      </c>
      <c r="C726" t="s">
        <v>11</v>
      </c>
      <c r="D726" s="1">
        <v>41274</v>
      </c>
      <c r="E726" s="2">
        <v>1765979000</v>
      </c>
      <c r="F726" s="2">
        <v>567989000</v>
      </c>
      <c r="G726" s="2">
        <v>158950000</v>
      </c>
      <c r="H726" t="s">
        <v>12</v>
      </c>
      <c r="I726" s="2">
        <v>506220000</v>
      </c>
      <c r="J726" t="s">
        <v>52</v>
      </c>
      <c r="K726" t="s">
        <v>53</v>
      </c>
      <c r="L726">
        <f t="shared" si="11"/>
        <v>0.67837160011529019</v>
      </c>
    </row>
    <row r="727" spans="1:12" x14ac:dyDescent="0.2">
      <c r="A727">
        <v>753</v>
      </c>
      <c r="B727" t="s">
        <v>291</v>
      </c>
      <c r="C727" t="s">
        <v>15</v>
      </c>
      <c r="D727" s="1">
        <v>41639</v>
      </c>
      <c r="E727" s="2">
        <v>2847945000</v>
      </c>
      <c r="F727" s="2">
        <v>1206813000</v>
      </c>
      <c r="G727" s="2">
        <v>241719000</v>
      </c>
      <c r="H727" t="s">
        <v>12</v>
      </c>
      <c r="I727" s="2">
        <v>865800000</v>
      </c>
      <c r="J727" t="s">
        <v>52</v>
      </c>
      <c r="K727" t="s">
        <v>53</v>
      </c>
      <c r="L727">
        <f t="shared" si="11"/>
        <v>0.57625129698782807</v>
      </c>
    </row>
    <row r="728" spans="1:12" x14ac:dyDescent="0.2">
      <c r="A728">
        <v>754</v>
      </c>
      <c r="B728" t="s">
        <v>291</v>
      </c>
      <c r="C728" t="s">
        <v>16</v>
      </c>
      <c r="D728" s="1">
        <v>42004</v>
      </c>
      <c r="E728" s="2">
        <v>3305879000</v>
      </c>
      <c r="F728" s="2">
        <v>1403358000</v>
      </c>
      <c r="G728" s="2">
        <v>212481000</v>
      </c>
      <c r="H728" t="s">
        <v>12</v>
      </c>
      <c r="I728" s="2">
        <v>844130000</v>
      </c>
      <c r="J728" t="s">
        <v>52</v>
      </c>
      <c r="K728" t="s">
        <v>53</v>
      </c>
      <c r="L728">
        <f t="shared" si="11"/>
        <v>0.57549625984496111</v>
      </c>
    </row>
    <row r="729" spans="1:12" x14ac:dyDescent="0.2">
      <c r="A729">
        <v>755</v>
      </c>
      <c r="B729" t="s">
        <v>291</v>
      </c>
      <c r="C729" t="s">
        <v>17</v>
      </c>
      <c r="D729" s="1">
        <v>42369</v>
      </c>
      <c r="E729" s="2">
        <v>3775685000</v>
      </c>
      <c r="F729" s="2">
        <v>1622257000</v>
      </c>
      <c r="G729" s="2">
        <v>258342000</v>
      </c>
      <c r="H729" t="s">
        <v>12</v>
      </c>
      <c r="I729" s="2">
        <v>826240000</v>
      </c>
      <c r="J729" t="s">
        <v>52</v>
      </c>
      <c r="K729" t="s">
        <v>53</v>
      </c>
      <c r="L729">
        <f t="shared" si="11"/>
        <v>0.57034101096887058</v>
      </c>
    </row>
    <row r="730" spans="1:12" x14ac:dyDescent="0.2">
      <c r="A730">
        <v>756</v>
      </c>
      <c r="B730" t="s">
        <v>292</v>
      </c>
      <c r="C730" t="s">
        <v>11</v>
      </c>
      <c r="D730" s="1">
        <v>41639</v>
      </c>
      <c r="E730" s="2">
        <v>2013719000</v>
      </c>
      <c r="F730" t="s">
        <v>12</v>
      </c>
      <c r="G730" s="2">
        <v>401324000</v>
      </c>
      <c r="H730" t="s">
        <v>12</v>
      </c>
      <c r="I730" s="2">
        <v>423312000</v>
      </c>
      <c r="J730" t="s">
        <v>52</v>
      </c>
      <c r="K730" t="s">
        <v>53</v>
      </c>
      <c r="L730" t="e">
        <f t="shared" si="11"/>
        <v>#VALUE!</v>
      </c>
    </row>
    <row r="731" spans="1:12" x14ac:dyDescent="0.2">
      <c r="A731">
        <v>757</v>
      </c>
      <c r="B731" t="s">
        <v>292</v>
      </c>
      <c r="C731" t="s">
        <v>15</v>
      </c>
      <c r="D731" s="1">
        <v>42004</v>
      </c>
      <c r="E731" s="2">
        <v>1563210000</v>
      </c>
      <c r="F731" t="s">
        <v>12</v>
      </c>
      <c r="G731" s="2">
        <v>463059000</v>
      </c>
      <c r="H731" t="s">
        <v>12</v>
      </c>
      <c r="I731" s="2">
        <v>455016000</v>
      </c>
      <c r="J731" t="s">
        <v>52</v>
      </c>
      <c r="K731" t="s">
        <v>53</v>
      </c>
      <c r="L731" t="e">
        <f t="shared" si="11"/>
        <v>#VALUE!</v>
      </c>
    </row>
    <row r="732" spans="1:12" x14ac:dyDescent="0.2">
      <c r="A732">
        <v>758</v>
      </c>
      <c r="B732" t="s">
        <v>292</v>
      </c>
      <c r="C732" t="s">
        <v>16</v>
      </c>
      <c r="D732" s="1">
        <v>42369</v>
      </c>
      <c r="E732" s="2">
        <v>1828305000</v>
      </c>
      <c r="F732" t="s">
        <v>12</v>
      </c>
      <c r="G732" s="2">
        <v>706644000</v>
      </c>
      <c r="H732" t="s">
        <v>12</v>
      </c>
      <c r="I732" s="2">
        <v>504905000</v>
      </c>
      <c r="J732" t="s">
        <v>52</v>
      </c>
      <c r="K732" t="s">
        <v>53</v>
      </c>
      <c r="L732" t="e">
        <f t="shared" si="11"/>
        <v>#VALUE!</v>
      </c>
    </row>
    <row r="733" spans="1:12" x14ac:dyDescent="0.2">
      <c r="A733">
        <v>759</v>
      </c>
      <c r="B733" t="s">
        <v>292</v>
      </c>
      <c r="C733" t="s">
        <v>17</v>
      </c>
      <c r="D733" s="1">
        <v>42735</v>
      </c>
      <c r="E733" s="2">
        <v>2040486000</v>
      </c>
      <c r="F733" t="s">
        <v>12</v>
      </c>
      <c r="G733" s="2">
        <v>842010000</v>
      </c>
      <c r="H733" t="s">
        <v>12</v>
      </c>
      <c r="I733" s="2">
        <v>568108000</v>
      </c>
      <c r="J733" t="s">
        <v>52</v>
      </c>
      <c r="K733" t="s">
        <v>53</v>
      </c>
      <c r="L733" t="e">
        <f t="shared" si="11"/>
        <v>#VALUE!</v>
      </c>
    </row>
    <row r="734" spans="1:12" x14ac:dyDescent="0.2">
      <c r="A734">
        <v>760</v>
      </c>
      <c r="B734" t="s">
        <v>293</v>
      </c>
      <c r="C734" t="s">
        <v>11</v>
      </c>
      <c r="D734" s="1">
        <v>41308</v>
      </c>
      <c r="E734" s="2">
        <v>74754000000</v>
      </c>
      <c r="F734" s="2">
        <v>48912000000</v>
      </c>
      <c r="G734" s="2">
        <v>16508000000</v>
      </c>
      <c r="H734" t="s">
        <v>12</v>
      </c>
      <c r="I734" s="2">
        <v>1568000000</v>
      </c>
      <c r="J734" t="s">
        <v>19</v>
      </c>
      <c r="K734" t="s">
        <v>294</v>
      </c>
      <c r="L734">
        <f t="shared" si="11"/>
        <v>0.34569387591299461</v>
      </c>
    </row>
    <row r="735" spans="1:12" x14ac:dyDescent="0.2">
      <c r="A735">
        <v>761</v>
      </c>
      <c r="B735" t="s">
        <v>293</v>
      </c>
      <c r="C735" t="s">
        <v>15</v>
      </c>
      <c r="D735" s="1">
        <v>41672</v>
      </c>
      <c r="E735" s="2">
        <v>78812000000</v>
      </c>
      <c r="F735" s="2">
        <v>51897000000</v>
      </c>
      <c r="G735" s="2">
        <v>16122000000</v>
      </c>
      <c r="H735" t="s">
        <v>12</v>
      </c>
      <c r="I735" s="2">
        <v>1627000000</v>
      </c>
      <c r="J735" t="s">
        <v>19</v>
      </c>
      <c r="K735" t="s">
        <v>294</v>
      </c>
      <c r="L735">
        <f t="shared" si="11"/>
        <v>0.34150890727300409</v>
      </c>
    </row>
    <row r="736" spans="1:12" x14ac:dyDescent="0.2">
      <c r="A736">
        <v>762</v>
      </c>
      <c r="B736" t="s">
        <v>293</v>
      </c>
      <c r="C736" t="s">
        <v>16</v>
      </c>
      <c r="D736" s="1">
        <v>42036</v>
      </c>
      <c r="E736" s="2">
        <v>83176000000</v>
      </c>
      <c r="F736" s="2">
        <v>54787000000</v>
      </c>
      <c r="G736" s="2">
        <v>16280000000</v>
      </c>
      <c r="H736" t="s">
        <v>12</v>
      </c>
      <c r="I736" s="2">
        <v>1640000000</v>
      </c>
      <c r="J736" t="s">
        <v>19</v>
      </c>
      <c r="K736" t="s">
        <v>294</v>
      </c>
      <c r="L736">
        <f t="shared" si="11"/>
        <v>0.34131239780705969</v>
      </c>
    </row>
    <row r="737" spans="1:12" x14ac:dyDescent="0.2">
      <c r="A737">
        <v>763</v>
      </c>
      <c r="B737" t="s">
        <v>293</v>
      </c>
      <c r="C737" t="s">
        <v>17</v>
      </c>
      <c r="D737" s="1">
        <v>42400</v>
      </c>
      <c r="E737" s="2">
        <v>88519000000</v>
      </c>
      <c r="F737" s="2">
        <v>58254000000</v>
      </c>
      <c r="G737" s="2">
        <v>16801000000</v>
      </c>
      <c r="H737" t="s">
        <v>12</v>
      </c>
      <c r="I737" s="2">
        <v>1690000000</v>
      </c>
      <c r="J737" t="s">
        <v>19</v>
      </c>
      <c r="K737" t="s">
        <v>294</v>
      </c>
      <c r="L737">
        <f t="shared" si="11"/>
        <v>0.34190399801172633</v>
      </c>
    </row>
    <row r="738" spans="1:12" x14ac:dyDescent="0.2">
      <c r="A738">
        <v>764</v>
      </c>
      <c r="B738" t="s">
        <v>295</v>
      </c>
      <c r="C738" t="s">
        <v>11</v>
      </c>
      <c r="D738" s="1">
        <v>41274</v>
      </c>
      <c r="E738" s="2">
        <v>12245000000</v>
      </c>
      <c r="F738" s="2">
        <v>3535000000</v>
      </c>
      <c r="G738" s="2">
        <v>1126000000</v>
      </c>
      <c r="H738" t="s">
        <v>12</v>
      </c>
      <c r="I738" s="2">
        <v>2866000000</v>
      </c>
      <c r="J738" t="s">
        <v>83</v>
      </c>
      <c r="K738" t="s">
        <v>144</v>
      </c>
      <c r="L738">
        <f t="shared" si="11"/>
        <v>0.71131073907717435</v>
      </c>
    </row>
    <row r="739" spans="1:12" x14ac:dyDescent="0.2">
      <c r="A739">
        <v>765</v>
      </c>
      <c r="B739" t="s">
        <v>295</v>
      </c>
      <c r="C739" t="s">
        <v>15</v>
      </c>
      <c r="D739" s="1">
        <v>41639</v>
      </c>
      <c r="E739" s="2">
        <v>11905000000</v>
      </c>
      <c r="F739" s="2">
        <v>3969000000</v>
      </c>
      <c r="G739" s="2">
        <v>1045000000</v>
      </c>
      <c r="H739" t="s">
        <v>12</v>
      </c>
      <c r="I739" s="2">
        <v>2687000000</v>
      </c>
      <c r="J739" t="s">
        <v>83</v>
      </c>
      <c r="K739" t="s">
        <v>144</v>
      </c>
      <c r="L739">
        <f t="shared" si="11"/>
        <v>0.66661066778664424</v>
      </c>
    </row>
    <row r="740" spans="1:12" x14ac:dyDescent="0.2">
      <c r="A740">
        <v>766</v>
      </c>
      <c r="B740" t="s">
        <v>295</v>
      </c>
      <c r="C740" t="s">
        <v>16</v>
      </c>
      <c r="D740" s="1">
        <v>42004</v>
      </c>
      <c r="E740" s="2">
        <v>10737000000</v>
      </c>
      <c r="F740" s="2">
        <v>3753000000</v>
      </c>
      <c r="G740" s="2">
        <v>863000000</v>
      </c>
      <c r="H740" t="s">
        <v>12</v>
      </c>
      <c r="I740" s="2">
        <v>3224000000</v>
      </c>
      <c r="J740" t="s">
        <v>83</v>
      </c>
      <c r="K740" t="s">
        <v>144</v>
      </c>
      <c r="L740">
        <f t="shared" si="11"/>
        <v>0.6504610226320201</v>
      </c>
    </row>
    <row r="741" spans="1:12" x14ac:dyDescent="0.2">
      <c r="A741">
        <v>767</v>
      </c>
      <c r="B741" t="s">
        <v>295</v>
      </c>
      <c r="C741" t="s">
        <v>17</v>
      </c>
      <c r="D741" s="1">
        <v>42369</v>
      </c>
      <c r="E741" s="2">
        <v>6636000000</v>
      </c>
      <c r="F741" s="2">
        <v>3323000000</v>
      </c>
      <c r="G741" s="2">
        <v>703000000</v>
      </c>
      <c r="H741" t="s">
        <v>12</v>
      </c>
      <c r="I741" s="2">
        <v>3955000000</v>
      </c>
      <c r="J741" t="s">
        <v>83</v>
      </c>
      <c r="K741" t="s">
        <v>144</v>
      </c>
      <c r="L741">
        <f t="shared" si="11"/>
        <v>0.49924653405666064</v>
      </c>
    </row>
    <row r="742" spans="1:12" x14ac:dyDescent="0.2">
      <c r="A742">
        <v>768</v>
      </c>
      <c r="B742" t="s">
        <v>296</v>
      </c>
      <c r="C742" t="s">
        <v>11</v>
      </c>
      <c r="D742" s="1">
        <v>41274</v>
      </c>
      <c r="E742" s="2">
        <v>22086000000</v>
      </c>
      <c r="F742" s="2">
        <v>13195000000</v>
      </c>
      <c r="G742" t="s">
        <v>12</v>
      </c>
      <c r="H742" t="s">
        <v>12</v>
      </c>
      <c r="I742" s="2">
        <v>7080000000</v>
      </c>
      <c r="J742" t="s">
        <v>47</v>
      </c>
      <c r="K742" t="s">
        <v>50</v>
      </c>
      <c r="L742">
        <f t="shared" si="11"/>
        <v>0.40256270940867522</v>
      </c>
    </row>
    <row r="743" spans="1:12" x14ac:dyDescent="0.2">
      <c r="A743">
        <v>769</v>
      </c>
      <c r="B743" t="s">
        <v>296</v>
      </c>
      <c r="C743" t="s">
        <v>15</v>
      </c>
      <c r="D743" s="1">
        <v>41639</v>
      </c>
      <c r="E743" s="2">
        <v>20673000000</v>
      </c>
      <c r="F743" s="2">
        <v>11048000000</v>
      </c>
      <c r="G743" t="s">
        <v>12</v>
      </c>
      <c r="H743" t="s">
        <v>12</v>
      </c>
      <c r="I743" s="2">
        <v>5970000000</v>
      </c>
      <c r="J743" t="s">
        <v>47</v>
      </c>
      <c r="K743" t="s">
        <v>50</v>
      </c>
      <c r="L743">
        <f t="shared" si="11"/>
        <v>0.46558312775117305</v>
      </c>
    </row>
    <row r="744" spans="1:12" x14ac:dyDescent="0.2">
      <c r="A744">
        <v>770</v>
      </c>
      <c r="B744" t="s">
        <v>296</v>
      </c>
      <c r="C744" t="s">
        <v>16</v>
      </c>
      <c r="D744" s="1">
        <v>42004</v>
      </c>
      <c r="E744" s="2">
        <v>18614000000</v>
      </c>
      <c r="F744" s="2">
        <v>10805000000</v>
      </c>
      <c r="G744" t="s">
        <v>12</v>
      </c>
      <c r="H744" t="s">
        <v>12</v>
      </c>
      <c r="I744" s="2">
        <v>5757000000</v>
      </c>
      <c r="J744" t="s">
        <v>47</v>
      </c>
      <c r="K744" t="s">
        <v>50</v>
      </c>
      <c r="L744">
        <f t="shared" si="11"/>
        <v>0.41952293972278931</v>
      </c>
    </row>
    <row r="745" spans="1:12" x14ac:dyDescent="0.2">
      <c r="A745">
        <v>771</v>
      </c>
      <c r="B745" t="s">
        <v>296</v>
      </c>
      <c r="C745" t="s">
        <v>17</v>
      </c>
      <c r="D745" s="1">
        <v>42369</v>
      </c>
      <c r="E745" s="2">
        <v>18377000000</v>
      </c>
      <c r="F745" s="2">
        <v>10775000000</v>
      </c>
      <c r="G745" t="s">
        <v>12</v>
      </c>
      <c r="H745" t="s">
        <v>12</v>
      </c>
      <c r="I745" s="2">
        <v>5274000000</v>
      </c>
      <c r="J745" t="s">
        <v>47</v>
      </c>
      <c r="K745" t="s">
        <v>50</v>
      </c>
      <c r="L745">
        <f t="shared" si="11"/>
        <v>0.41366926048865427</v>
      </c>
    </row>
    <row r="746" spans="1:12" x14ac:dyDescent="0.2">
      <c r="A746">
        <v>772</v>
      </c>
      <c r="B746" t="s">
        <v>297</v>
      </c>
      <c r="C746" t="s">
        <v>11</v>
      </c>
      <c r="D746" s="1">
        <v>41274</v>
      </c>
      <c r="E746" s="2">
        <v>5580506000</v>
      </c>
      <c r="F746" s="2">
        <v>3440623000</v>
      </c>
      <c r="G746" s="2">
        <v>1111232000</v>
      </c>
      <c r="H746" t="s">
        <v>12</v>
      </c>
      <c r="I746" t="s">
        <v>12</v>
      </c>
      <c r="J746" t="s">
        <v>19</v>
      </c>
      <c r="K746" t="s">
        <v>298</v>
      </c>
      <c r="L746">
        <f t="shared" si="11"/>
        <v>0.38345680481304023</v>
      </c>
    </row>
    <row r="747" spans="1:12" x14ac:dyDescent="0.2">
      <c r="A747">
        <v>773</v>
      </c>
      <c r="B747" t="s">
        <v>297</v>
      </c>
      <c r="C747" t="s">
        <v>15</v>
      </c>
      <c r="D747" s="1">
        <v>41639</v>
      </c>
      <c r="E747" s="2">
        <v>5899872000</v>
      </c>
      <c r="F747" s="2">
        <v>3621417000</v>
      </c>
      <c r="G747" s="2">
        <v>1124753000</v>
      </c>
      <c r="H747" t="s">
        <v>12</v>
      </c>
      <c r="I747" t="s">
        <v>12</v>
      </c>
      <c r="J747" t="s">
        <v>19</v>
      </c>
      <c r="K747" t="s">
        <v>298</v>
      </c>
      <c r="L747">
        <f t="shared" si="11"/>
        <v>0.38618719185772166</v>
      </c>
    </row>
    <row r="748" spans="1:12" x14ac:dyDescent="0.2">
      <c r="A748">
        <v>774</v>
      </c>
      <c r="B748" t="s">
        <v>297</v>
      </c>
      <c r="C748" t="s">
        <v>16</v>
      </c>
      <c r="D748" s="1">
        <v>42004</v>
      </c>
      <c r="E748" s="2">
        <v>6228508000</v>
      </c>
      <c r="F748" s="2">
        <v>3788023000</v>
      </c>
      <c r="G748" s="2">
        <v>1159502000</v>
      </c>
      <c r="H748" t="s">
        <v>12</v>
      </c>
      <c r="I748" t="s">
        <v>12</v>
      </c>
      <c r="J748" t="s">
        <v>19</v>
      </c>
      <c r="K748" t="s">
        <v>298</v>
      </c>
      <c r="L748">
        <f t="shared" si="11"/>
        <v>0.39182497638278702</v>
      </c>
    </row>
    <row r="749" spans="1:12" x14ac:dyDescent="0.2">
      <c r="A749">
        <v>775</v>
      </c>
      <c r="B749" t="s">
        <v>297</v>
      </c>
      <c r="C749" t="s">
        <v>17</v>
      </c>
      <c r="D749" s="1">
        <v>42369</v>
      </c>
      <c r="E749" s="2">
        <v>5995402000</v>
      </c>
      <c r="F749" s="2">
        <v>3619612000</v>
      </c>
      <c r="G749" s="2">
        <v>1220095000</v>
      </c>
      <c r="H749" t="s">
        <v>12</v>
      </c>
      <c r="I749" t="s">
        <v>12</v>
      </c>
      <c r="J749" t="s">
        <v>19</v>
      </c>
      <c r="K749" t="s">
        <v>298</v>
      </c>
      <c r="L749">
        <f t="shared" si="11"/>
        <v>0.39626867389376064</v>
      </c>
    </row>
    <row r="750" spans="1:12" x14ac:dyDescent="0.2">
      <c r="A750">
        <v>776</v>
      </c>
      <c r="B750" t="s">
        <v>299</v>
      </c>
      <c r="C750" t="s">
        <v>11</v>
      </c>
      <c r="D750" s="1">
        <v>41545</v>
      </c>
      <c r="E750" s="2">
        <v>2492300000</v>
      </c>
      <c r="F750" s="2">
        <v>1330900000</v>
      </c>
      <c r="G750" s="2">
        <v>661100000</v>
      </c>
      <c r="H750" s="2">
        <v>197600000</v>
      </c>
      <c r="I750" s="2">
        <v>112600000</v>
      </c>
      <c r="J750" t="s">
        <v>25</v>
      </c>
      <c r="K750" t="s">
        <v>30</v>
      </c>
      <c r="L750">
        <f t="shared" si="11"/>
        <v>0.46599526541748582</v>
      </c>
    </row>
    <row r="751" spans="1:12" x14ac:dyDescent="0.2">
      <c r="A751">
        <v>777</v>
      </c>
      <c r="B751" t="s">
        <v>299</v>
      </c>
      <c r="C751" t="s">
        <v>15</v>
      </c>
      <c r="D751" s="1">
        <v>41909</v>
      </c>
      <c r="E751" s="2">
        <v>2530700000</v>
      </c>
      <c r="F751" s="2">
        <v>1285200000</v>
      </c>
      <c r="G751" s="2">
        <v>591500000</v>
      </c>
      <c r="H751" s="2">
        <v>203200000</v>
      </c>
      <c r="I751" s="2">
        <v>113800000</v>
      </c>
      <c r="J751" t="s">
        <v>25</v>
      </c>
      <c r="K751" t="s">
        <v>30</v>
      </c>
      <c r="L751">
        <f t="shared" si="11"/>
        <v>0.49215632038566404</v>
      </c>
    </row>
    <row r="752" spans="1:12" x14ac:dyDescent="0.2">
      <c r="A752">
        <v>778</v>
      </c>
      <c r="B752" t="s">
        <v>299</v>
      </c>
      <c r="C752" t="s">
        <v>16</v>
      </c>
      <c r="D752" s="1">
        <v>42273</v>
      </c>
      <c r="E752" s="2">
        <v>2705000000</v>
      </c>
      <c r="F752" s="2">
        <v>1272300000</v>
      </c>
      <c r="G752" s="2">
        <v>624000000</v>
      </c>
      <c r="H752" s="2">
        <v>214900000</v>
      </c>
      <c r="I752" s="2">
        <v>110200000</v>
      </c>
      <c r="J752" t="s">
        <v>25</v>
      </c>
      <c r="K752" t="s">
        <v>30</v>
      </c>
      <c r="L752">
        <f t="shared" si="11"/>
        <v>0.52964879852125701</v>
      </c>
    </row>
    <row r="753" spans="1:12" x14ac:dyDescent="0.2">
      <c r="A753">
        <v>779</v>
      </c>
      <c r="B753" t="s">
        <v>299</v>
      </c>
      <c r="C753" t="s">
        <v>17</v>
      </c>
      <c r="D753" s="1">
        <v>42637</v>
      </c>
      <c r="E753" s="2">
        <v>2832700000</v>
      </c>
      <c r="F753" s="2">
        <v>1269400000</v>
      </c>
      <c r="G753" s="2">
        <v>682400000</v>
      </c>
      <c r="H753" s="2">
        <v>232100000</v>
      </c>
      <c r="I753" s="2">
        <v>89700000</v>
      </c>
      <c r="J753" t="s">
        <v>25</v>
      </c>
      <c r="K753" t="s">
        <v>30</v>
      </c>
      <c r="L753">
        <f t="shared" si="11"/>
        <v>0.55187630176157021</v>
      </c>
    </row>
    <row r="754" spans="1:12" x14ac:dyDescent="0.2">
      <c r="A754">
        <v>780</v>
      </c>
      <c r="B754" t="s">
        <v>300</v>
      </c>
      <c r="C754" t="s">
        <v>11</v>
      </c>
      <c r="D754" s="1">
        <v>41639</v>
      </c>
      <c r="E754" s="2">
        <v>39055000000</v>
      </c>
      <c r="F754" s="2">
        <v>28364000000</v>
      </c>
      <c r="G754" s="2">
        <v>5190000000</v>
      </c>
      <c r="H754" t="s">
        <v>12</v>
      </c>
      <c r="I754" t="s">
        <v>12</v>
      </c>
      <c r="J754" t="s">
        <v>13</v>
      </c>
      <c r="K754" t="s">
        <v>164</v>
      </c>
      <c r="L754">
        <f t="shared" si="11"/>
        <v>0.27374215849443095</v>
      </c>
    </row>
    <row r="755" spans="1:12" x14ac:dyDescent="0.2">
      <c r="A755">
        <v>781</v>
      </c>
      <c r="B755" t="s">
        <v>300</v>
      </c>
      <c r="C755" t="s">
        <v>15</v>
      </c>
      <c r="D755" s="1">
        <v>42004</v>
      </c>
      <c r="E755" s="2">
        <v>40306000000</v>
      </c>
      <c r="F755" s="2">
        <v>28957000000</v>
      </c>
      <c r="G755" s="2">
        <v>5518000000</v>
      </c>
      <c r="H755" t="s">
        <v>12</v>
      </c>
      <c r="I755" t="s">
        <v>12</v>
      </c>
      <c r="J755" t="s">
        <v>13</v>
      </c>
      <c r="K755" t="s">
        <v>164</v>
      </c>
      <c r="L755">
        <f t="shared" si="11"/>
        <v>0.2815709819877934</v>
      </c>
    </row>
    <row r="756" spans="1:12" x14ac:dyDescent="0.2">
      <c r="A756">
        <v>782</v>
      </c>
      <c r="B756" t="s">
        <v>300</v>
      </c>
      <c r="C756" t="s">
        <v>16</v>
      </c>
      <c r="D756" s="1">
        <v>42369</v>
      </c>
      <c r="E756" s="2">
        <v>38581000000</v>
      </c>
      <c r="F756" s="2">
        <v>26747000000</v>
      </c>
      <c r="G756" s="2">
        <v>5006000000</v>
      </c>
      <c r="H756" t="s">
        <v>12</v>
      </c>
      <c r="I756" t="s">
        <v>12</v>
      </c>
      <c r="J756" t="s">
        <v>13</v>
      </c>
      <c r="K756" t="s">
        <v>164</v>
      </c>
      <c r="L756">
        <f t="shared" si="11"/>
        <v>0.30673129260516829</v>
      </c>
    </row>
    <row r="757" spans="1:12" x14ac:dyDescent="0.2">
      <c r="A757">
        <v>783</v>
      </c>
      <c r="B757" t="s">
        <v>300</v>
      </c>
      <c r="C757" t="s">
        <v>17</v>
      </c>
      <c r="D757" s="1">
        <v>42735</v>
      </c>
      <c r="E757" s="2">
        <v>39302000000</v>
      </c>
      <c r="F757" s="2">
        <v>27150000000</v>
      </c>
      <c r="G757" s="2">
        <v>5469000000</v>
      </c>
      <c r="H757" t="s">
        <v>12</v>
      </c>
      <c r="I757" t="s">
        <v>12</v>
      </c>
      <c r="J757" t="s">
        <v>13</v>
      </c>
      <c r="K757" t="s">
        <v>164</v>
      </c>
      <c r="L757">
        <f t="shared" si="11"/>
        <v>0.3091954607907994</v>
      </c>
    </row>
    <row r="758" spans="1:12" x14ac:dyDescent="0.2">
      <c r="A758">
        <v>784</v>
      </c>
      <c r="B758" t="s">
        <v>301</v>
      </c>
      <c r="C758" t="s">
        <v>11</v>
      </c>
      <c r="D758" s="1">
        <v>41547</v>
      </c>
      <c r="E758" s="2">
        <v>3387614000</v>
      </c>
      <c r="F758" s="2">
        <v>1852768000</v>
      </c>
      <c r="G758" s="2">
        <v>126250000</v>
      </c>
      <c r="H758" s="2">
        <v>15235000</v>
      </c>
      <c r="I758" s="2">
        <v>455623000</v>
      </c>
      <c r="J758" t="s">
        <v>83</v>
      </c>
      <c r="K758" t="s">
        <v>302</v>
      </c>
      <c r="L758">
        <f t="shared" si="11"/>
        <v>0.45307582268818114</v>
      </c>
    </row>
    <row r="759" spans="1:12" x14ac:dyDescent="0.2">
      <c r="A759">
        <v>785</v>
      </c>
      <c r="B759" t="s">
        <v>301</v>
      </c>
      <c r="C759" t="s">
        <v>15</v>
      </c>
      <c r="D759" s="1">
        <v>41912</v>
      </c>
      <c r="E759" s="2">
        <v>3715968000</v>
      </c>
      <c r="F759" s="2">
        <v>2006715000</v>
      </c>
      <c r="G759" s="2">
        <v>116190000</v>
      </c>
      <c r="H759" s="2">
        <v>15905000</v>
      </c>
      <c r="I759" s="2">
        <v>523984000</v>
      </c>
      <c r="J759" t="s">
        <v>83</v>
      </c>
      <c r="K759" t="s">
        <v>302</v>
      </c>
      <c r="L759">
        <f t="shared" si="11"/>
        <v>0.45997516663222071</v>
      </c>
    </row>
    <row r="760" spans="1:12" x14ac:dyDescent="0.2">
      <c r="A760">
        <v>786</v>
      </c>
      <c r="B760" t="s">
        <v>301</v>
      </c>
      <c r="C760" t="s">
        <v>16</v>
      </c>
      <c r="D760" s="1">
        <v>42277</v>
      </c>
      <c r="E760" s="2">
        <v>3161702000</v>
      </c>
      <c r="F760" s="2">
        <v>1703476000</v>
      </c>
      <c r="G760" s="2">
        <v>122878000</v>
      </c>
      <c r="H760" s="2">
        <v>16104000</v>
      </c>
      <c r="I760" s="2">
        <v>608039000</v>
      </c>
      <c r="J760" t="s">
        <v>83</v>
      </c>
      <c r="K760" t="s">
        <v>302</v>
      </c>
      <c r="L760">
        <f t="shared" si="11"/>
        <v>0.46121550987411208</v>
      </c>
    </row>
    <row r="761" spans="1:12" x14ac:dyDescent="0.2">
      <c r="A761">
        <v>787</v>
      </c>
      <c r="B761" t="s">
        <v>301</v>
      </c>
      <c r="C761" t="s">
        <v>17</v>
      </c>
      <c r="D761" s="1">
        <v>42643</v>
      </c>
      <c r="E761" s="2">
        <v>1624232000</v>
      </c>
      <c r="F761" s="2">
        <v>898805000</v>
      </c>
      <c r="G761" s="2">
        <v>136287000</v>
      </c>
      <c r="H761" s="2">
        <v>10269000</v>
      </c>
      <c r="I761" s="2">
        <v>598587000</v>
      </c>
      <c r="J761" t="s">
        <v>83</v>
      </c>
      <c r="K761" t="s">
        <v>302</v>
      </c>
      <c r="L761">
        <f t="shared" si="11"/>
        <v>0.44662769850612472</v>
      </c>
    </row>
    <row r="762" spans="1:12" x14ac:dyDescent="0.2">
      <c r="A762">
        <v>788</v>
      </c>
      <c r="B762" t="s">
        <v>303</v>
      </c>
      <c r="C762" t="s">
        <v>11</v>
      </c>
      <c r="D762" s="1">
        <v>41943</v>
      </c>
      <c r="E762" s="2">
        <v>55123000000</v>
      </c>
      <c r="F762" s="2">
        <v>39486000000</v>
      </c>
      <c r="G762" s="2">
        <v>8717000000</v>
      </c>
      <c r="H762" s="2">
        <v>2197000000</v>
      </c>
      <c r="I762" s="2">
        <v>906000000</v>
      </c>
      <c r="J762" t="s">
        <v>22</v>
      </c>
      <c r="K762" t="s">
        <v>304</v>
      </c>
      <c r="L762">
        <f t="shared" si="11"/>
        <v>0.28367469114525701</v>
      </c>
    </row>
    <row r="763" spans="1:12" x14ac:dyDescent="0.2">
      <c r="A763">
        <v>789</v>
      </c>
      <c r="B763" t="s">
        <v>303</v>
      </c>
      <c r="C763" t="s">
        <v>15</v>
      </c>
      <c r="D763" s="1">
        <v>42308</v>
      </c>
      <c r="E763" s="2">
        <v>52107000000</v>
      </c>
      <c r="F763" s="2">
        <v>37168000000</v>
      </c>
      <c r="G763" s="2">
        <v>9047000000</v>
      </c>
      <c r="H763" s="2">
        <v>2338000000</v>
      </c>
      <c r="I763" s="2">
        <v>852000000</v>
      </c>
      <c r="J763" t="s">
        <v>22</v>
      </c>
      <c r="K763" t="s">
        <v>304</v>
      </c>
      <c r="L763">
        <f t="shared" si="11"/>
        <v>0.28669852419060782</v>
      </c>
    </row>
    <row r="764" spans="1:12" x14ac:dyDescent="0.2">
      <c r="A764">
        <v>790</v>
      </c>
      <c r="B764" t="s">
        <v>303</v>
      </c>
      <c r="C764" t="s">
        <v>16</v>
      </c>
      <c r="D764" s="1">
        <v>42674</v>
      </c>
      <c r="E764" s="2">
        <v>50123000000</v>
      </c>
      <c r="F764" s="2">
        <v>35507000000</v>
      </c>
      <c r="G764" s="2">
        <v>8419000000</v>
      </c>
      <c r="H764" s="2">
        <v>2298000000</v>
      </c>
      <c r="I764" s="2">
        <v>755000000</v>
      </c>
      <c r="J764" t="s">
        <v>22</v>
      </c>
      <c r="K764" t="s">
        <v>304</v>
      </c>
      <c r="L764">
        <f t="shared" si="11"/>
        <v>0.29160265746264191</v>
      </c>
    </row>
    <row r="765" spans="1:12" x14ac:dyDescent="0.2">
      <c r="A765">
        <v>791</v>
      </c>
      <c r="B765" t="s">
        <v>305</v>
      </c>
      <c r="C765" t="s">
        <v>11</v>
      </c>
      <c r="D765" s="1">
        <v>41578</v>
      </c>
      <c r="E765" s="2">
        <v>112298000000</v>
      </c>
      <c r="F765" s="2">
        <v>86380000000</v>
      </c>
      <c r="G765" s="2">
        <v>13267000000</v>
      </c>
      <c r="H765" s="2">
        <v>3135000000</v>
      </c>
      <c r="I765" s="2">
        <v>1373000000</v>
      </c>
      <c r="J765" t="s">
        <v>22</v>
      </c>
      <c r="K765" t="s">
        <v>23</v>
      </c>
      <c r="L765">
        <f t="shared" si="11"/>
        <v>0.2307966303941299</v>
      </c>
    </row>
    <row r="766" spans="1:12" x14ac:dyDescent="0.2">
      <c r="A766">
        <v>792</v>
      </c>
      <c r="B766" t="s">
        <v>305</v>
      </c>
      <c r="C766" t="s">
        <v>15</v>
      </c>
      <c r="D766" s="1">
        <v>41943</v>
      </c>
      <c r="E766" s="2">
        <v>56651000000</v>
      </c>
      <c r="F766" s="2">
        <v>45431000000</v>
      </c>
      <c r="G766" s="2">
        <v>5361000000</v>
      </c>
      <c r="H766" s="2">
        <v>1298000000</v>
      </c>
      <c r="I766" s="2">
        <v>129000000</v>
      </c>
      <c r="J766" t="s">
        <v>22</v>
      </c>
      <c r="K766" t="s">
        <v>23</v>
      </c>
      <c r="L766">
        <f t="shared" si="11"/>
        <v>0.19805475631498115</v>
      </c>
    </row>
    <row r="767" spans="1:12" x14ac:dyDescent="0.2">
      <c r="A767">
        <v>793</v>
      </c>
      <c r="B767" t="s">
        <v>305</v>
      </c>
      <c r="C767" t="s">
        <v>16</v>
      </c>
      <c r="D767" s="1">
        <v>42308</v>
      </c>
      <c r="E767" s="2">
        <v>51463000000</v>
      </c>
      <c r="F767" s="2">
        <v>41524000000</v>
      </c>
      <c r="G767" s="2">
        <v>4663000000</v>
      </c>
      <c r="H767" s="2">
        <v>1191000000</v>
      </c>
      <c r="I767" s="2">
        <v>102000000</v>
      </c>
      <c r="J767" t="s">
        <v>22</v>
      </c>
      <c r="K767" t="s">
        <v>23</v>
      </c>
      <c r="L767">
        <f t="shared" si="11"/>
        <v>0.19312904416765442</v>
      </c>
    </row>
    <row r="768" spans="1:12" x14ac:dyDescent="0.2">
      <c r="A768">
        <v>794</v>
      </c>
      <c r="B768" t="s">
        <v>305</v>
      </c>
      <c r="C768" t="s">
        <v>17</v>
      </c>
      <c r="D768" s="1">
        <v>42674</v>
      </c>
      <c r="E768" s="2">
        <v>48238000000</v>
      </c>
      <c r="F768" s="2">
        <v>39240000000</v>
      </c>
      <c r="G768" s="2">
        <v>4019000000</v>
      </c>
      <c r="H768" s="2">
        <v>1209000000</v>
      </c>
      <c r="I768" s="2">
        <v>16000000</v>
      </c>
      <c r="J768" t="s">
        <v>22</v>
      </c>
      <c r="K768" t="s">
        <v>23</v>
      </c>
      <c r="L768">
        <f t="shared" si="11"/>
        <v>0.18653343836809155</v>
      </c>
    </row>
    <row r="769" spans="1:12" x14ac:dyDescent="0.2">
      <c r="A769">
        <v>795</v>
      </c>
      <c r="B769" t="s">
        <v>306</v>
      </c>
      <c r="C769" t="s">
        <v>11</v>
      </c>
      <c r="D769" s="1">
        <v>41394</v>
      </c>
      <c r="E769" s="2">
        <v>2807114000</v>
      </c>
      <c r="F769" s="2">
        <v>1123773000</v>
      </c>
      <c r="G769" s="2">
        <v>828095000</v>
      </c>
      <c r="H769" t="s">
        <v>12</v>
      </c>
      <c r="I769" s="2">
        <v>92407000</v>
      </c>
      <c r="J769" t="s">
        <v>47</v>
      </c>
      <c r="K769" t="s">
        <v>100</v>
      </c>
      <c r="L769">
        <f t="shared" si="11"/>
        <v>0.59966962510250743</v>
      </c>
    </row>
    <row r="770" spans="1:12" x14ac:dyDescent="0.2">
      <c r="A770">
        <v>796</v>
      </c>
      <c r="B770" t="s">
        <v>306</v>
      </c>
      <c r="C770" t="s">
        <v>15</v>
      </c>
      <c r="D770" s="1">
        <v>41759</v>
      </c>
      <c r="E770" s="2">
        <v>3024295000</v>
      </c>
      <c r="F770" s="2">
        <v>1179405000</v>
      </c>
      <c r="G770" s="2">
        <v>830789000</v>
      </c>
      <c r="H770" t="s">
        <v>12</v>
      </c>
      <c r="I770" s="2">
        <v>115604000</v>
      </c>
      <c r="J770" t="s">
        <v>47</v>
      </c>
      <c r="K770" t="s">
        <v>100</v>
      </c>
      <c r="L770">
        <f t="shared" si="11"/>
        <v>0.61002316242297794</v>
      </c>
    </row>
    <row r="771" spans="1:12" x14ac:dyDescent="0.2">
      <c r="A771">
        <v>797</v>
      </c>
      <c r="B771" t="s">
        <v>306</v>
      </c>
      <c r="C771" t="s">
        <v>16</v>
      </c>
      <c r="D771" s="1">
        <v>42124</v>
      </c>
      <c r="E771" s="2">
        <v>3078658000</v>
      </c>
      <c r="F771" s="2">
        <v>1231104000</v>
      </c>
      <c r="G771" s="2">
        <v>818091000</v>
      </c>
      <c r="H771" t="s">
        <v>12</v>
      </c>
      <c r="I771" s="2">
        <v>159804000</v>
      </c>
      <c r="J771" t="s">
        <v>47</v>
      </c>
      <c r="K771" t="s">
        <v>100</v>
      </c>
      <c r="L771">
        <f t="shared" ref="L771:L834" si="12">1-F771/E771</f>
        <v>0.60011667421324488</v>
      </c>
    </row>
    <row r="772" spans="1:12" x14ac:dyDescent="0.2">
      <c r="A772">
        <v>798</v>
      </c>
      <c r="B772" t="s">
        <v>306</v>
      </c>
      <c r="C772" t="s">
        <v>17</v>
      </c>
      <c r="D772" s="1">
        <v>42490</v>
      </c>
      <c r="E772" s="2">
        <v>3038153000</v>
      </c>
      <c r="F772" s="2">
        <v>1250320000</v>
      </c>
      <c r="G772" s="2">
        <v>905648000</v>
      </c>
      <c r="H772" t="s">
        <v>12</v>
      </c>
      <c r="I772" s="2">
        <v>173598000</v>
      </c>
      <c r="J772" t="s">
        <v>47</v>
      </c>
      <c r="K772" t="s">
        <v>100</v>
      </c>
      <c r="L772">
        <f t="shared" si="12"/>
        <v>0.58846048898788172</v>
      </c>
    </row>
    <row r="773" spans="1:12" x14ac:dyDescent="0.2">
      <c r="A773">
        <v>799</v>
      </c>
      <c r="B773" t="s">
        <v>307</v>
      </c>
      <c r="C773" t="s">
        <v>11</v>
      </c>
      <c r="D773" s="1">
        <v>41574</v>
      </c>
      <c r="E773" s="2">
        <v>8751654000</v>
      </c>
      <c r="F773" s="2">
        <v>7338838000</v>
      </c>
      <c r="G773" s="2">
        <v>627340000</v>
      </c>
      <c r="H773" t="s">
        <v>12</v>
      </c>
      <c r="I773" t="s">
        <v>12</v>
      </c>
      <c r="J773" t="s">
        <v>36</v>
      </c>
      <c r="K773" t="s">
        <v>124</v>
      </c>
      <c r="L773">
        <f t="shared" si="12"/>
        <v>0.16143417004374261</v>
      </c>
    </row>
    <row r="774" spans="1:12" x14ac:dyDescent="0.2">
      <c r="A774">
        <v>800</v>
      </c>
      <c r="B774" t="s">
        <v>307</v>
      </c>
      <c r="C774" t="s">
        <v>15</v>
      </c>
      <c r="D774" s="1">
        <v>41938</v>
      </c>
      <c r="E774" s="2">
        <v>9316256000</v>
      </c>
      <c r="F774" s="2">
        <v>7751273000</v>
      </c>
      <c r="G774" s="2">
        <v>650948000</v>
      </c>
      <c r="H774" t="s">
        <v>12</v>
      </c>
      <c r="I774" t="s">
        <v>12</v>
      </c>
      <c r="J774" t="s">
        <v>36</v>
      </c>
      <c r="K774" t="s">
        <v>124</v>
      </c>
      <c r="L774">
        <f t="shared" si="12"/>
        <v>0.1679841129312033</v>
      </c>
    </row>
    <row r="775" spans="1:12" x14ac:dyDescent="0.2">
      <c r="A775">
        <v>801</v>
      </c>
      <c r="B775" t="s">
        <v>307</v>
      </c>
      <c r="C775" t="s">
        <v>16</v>
      </c>
      <c r="D775" s="1">
        <v>42308</v>
      </c>
      <c r="E775" s="2">
        <v>9263863000</v>
      </c>
      <c r="F775" s="2">
        <v>7455282000</v>
      </c>
      <c r="G775" s="2">
        <v>743611000</v>
      </c>
      <c r="H775" t="s">
        <v>12</v>
      </c>
      <c r="I775" t="s">
        <v>12</v>
      </c>
      <c r="J775" t="s">
        <v>36</v>
      </c>
      <c r="K775" t="s">
        <v>124</v>
      </c>
      <c r="L775">
        <f t="shared" si="12"/>
        <v>0.19522967902267119</v>
      </c>
    </row>
    <row r="776" spans="1:12" x14ac:dyDescent="0.2">
      <c r="A776">
        <v>802</v>
      </c>
      <c r="B776" t="s">
        <v>307</v>
      </c>
      <c r="C776" t="s">
        <v>17</v>
      </c>
      <c r="D776" s="1">
        <v>42673</v>
      </c>
      <c r="E776" s="2">
        <v>9523224000</v>
      </c>
      <c r="F776" s="2">
        <v>7365049000</v>
      </c>
      <c r="G776" s="2">
        <v>871974000</v>
      </c>
      <c r="H776" t="s">
        <v>12</v>
      </c>
      <c r="I776" t="s">
        <v>12</v>
      </c>
      <c r="J776" t="s">
        <v>36</v>
      </c>
      <c r="K776" t="s">
        <v>124</v>
      </c>
      <c r="L776">
        <f t="shared" si="12"/>
        <v>0.22662230773947978</v>
      </c>
    </row>
    <row r="777" spans="1:12" x14ac:dyDescent="0.2">
      <c r="A777">
        <v>803</v>
      </c>
      <c r="B777" t="s">
        <v>308</v>
      </c>
      <c r="C777" t="s">
        <v>11</v>
      </c>
      <c r="D777" s="1">
        <v>41453</v>
      </c>
      <c r="E777" s="2">
        <v>5112000000</v>
      </c>
      <c r="F777" s="2">
        <v>3385000000</v>
      </c>
      <c r="G777" s="2">
        <v>914000000</v>
      </c>
      <c r="H777" t="s">
        <v>12</v>
      </c>
      <c r="I777" t="s">
        <v>12</v>
      </c>
      <c r="J777" t="s">
        <v>22</v>
      </c>
      <c r="K777" t="s">
        <v>309</v>
      </c>
      <c r="L777">
        <f t="shared" si="12"/>
        <v>0.33783255086071984</v>
      </c>
    </row>
    <row r="778" spans="1:12" x14ac:dyDescent="0.2">
      <c r="A778">
        <v>804</v>
      </c>
      <c r="B778" t="s">
        <v>308</v>
      </c>
      <c r="C778" t="s">
        <v>15</v>
      </c>
      <c r="D778" s="1">
        <v>41817</v>
      </c>
      <c r="E778" s="2">
        <v>5012000000</v>
      </c>
      <c r="F778" s="2">
        <v>3310000000</v>
      </c>
      <c r="G778" s="2">
        <v>820000000</v>
      </c>
      <c r="H778" t="s">
        <v>12</v>
      </c>
      <c r="I778" t="s">
        <v>12</v>
      </c>
      <c r="J778" t="s">
        <v>22</v>
      </c>
      <c r="K778" t="s">
        <v>309</v>
      </c>
      <c r="L778">
        <f t="shared" si="12"/>
        <v>0.33958499600957703</v>
      </c>
    </row>
    <row r="779" spans="1:12" x14ac:dyDescent="0.2">
      <c r="A779">
        <v>805</v>
      </c>
      <c r="B779" t="s">
        <v>308</v>
      </c>
      <c r="C779" t="s">
        <v>16</v>
      </c>
      <c r="D779" s="1">
        <v>42188</v>
      </c>
      <c r="E779" s="2">
        <v>5083000000</v>
      </c>
      <c r="F779" s="2">
        <v>3348000000</v>
      </c>
      <c r="G779" s="2">
        <v>976000000</v>
      </c>
      <c r="H779" t="s">
        <v>12</v>
      </c>
      <c r="I779" t="s">
        <v>12</v>
      </c>
      <c r="J779" t="s">
        <v>22</v>
      </c>
      <c r="K779" t="s">
        <v>309</v>
      </c>
      <c r="L779">
        <f t="shared" si="12"/>
        <v>0.34133385795789883</v>
      </c>
    </row>
    <row r="780" spans="1:12" x14ac:dyDescent="0.2">
      <c r="A780">
        <v>806</v>
      </c>
      <c r="B780" t="s">
        <v>308</v>
      </c>
      <c r="C780" t="s">
        <v>17</v>
      </c>
      <c r="D780" s="1">
        <v>42552</v>
      </c>
      <c r="E780" s="2">
        <v>7467000000</v>
      </c>
      <c r="F780" s="2">
        <v>5132000000</v>
      </c>
      <c r="G780" s="2">
        <v>1186000000</v>
      </c>
      <c r="H780" t="s">
        <v>12</v>
      </c>
      <c r="I780" t="s">
        <v>12</v>
      </c>
      <c r="J780" t="s">
        <v>22</v>
      </c>
      <c r="K780" t="s">
        <v>309</v>
      </c>
      <c r="L780">
        <f t="shared" si="12"/>
        <v>0.31270925405115846</v>
      </c>
    </row>
    <row r="781" spans="1:12" x14ac:dyDescent="0.2">
      <c r="A781">
        <v>807</v>
      </c>
      <c r="B781" t="s">
        <v>310</v>
      </c>
      <c r="C781" t="s">
        <v>11</v>
      </c>
      <c r="D781" s="1">
        <v>41272</v>
      </c>
      <c r="E781" s="2">
        <v>8939967000</v>
      </c>
      <c r="F781" s="2">
        <v>6432454000</v>
      </c>
      <c r="G781" s="2">
        <v>1873360000</v>
      </c>
      <c r="H781" t="s">
        <v>12</v>
      </c>
      <c r="I781" t="s">
        <v>12</v>
      </c>
      <c r="J781" t="s">
        <v>25</v>
      </c>
      <c r="K781" t="s">
        <v>28</v>
      </c>
      <c r="L781">
        <f t="shared" si="12"/>
        <v>0.28048347382042904</v>
      </c>
    </row>
    <row r="782" spans="1:12" x14ac:dyDescent="0.2">
      <c r="A782">
        <v>808</v>
      </c>
      <c r="B782" t="s">
        <v>310</v>
      </c>
      <c r="C782" t="s">
        <v>15</v>
      </c>
      <c r="D782" s="1">
        <v>41636</v>
      </c>
      <c r="E782" s="2">
        <v>9560647000</v>
      </c>
      <c r="F782" s="2">
        <v>6904633000</v>
      </c>
      <c r="G782" s="2">
        <v>1978960000</v>
      </c>
      <c r="H782" t="s">
        <v>12</v>
      </c>
      <c r="I782" t="s">
        <v>12</v>
      </c>
      <c r="J782" t="s">
        <v>25</v>
      </c>
      <c r="K782" t="s">
        <v>28</v>
      </c>
      <c r="L782">
        <f t="shared" si="12"/>
        <v>0.27780693084892683</v>
      </c>
    </row>
    <row r="783" spans="1:12" x14ac:dyDescent="0.2">
      <c r="A783">
        <v>809</v>
      </c>
      <c r="B783" t="s">
        <v>310</v>
      </c>
      <c r="C783" t="s">
        <v>16</v>
      </c>
      <c r="D783" s="1">
        <v>42000</v>
      </c>
      <c r="E783" s="2">
        <v>10371390000</v>
      </c>
      <c r="F783" s="2">
        <v>7460075000</v>
      </c>
      <c r="G783" s="2">
        <v>2196173000</v>
      </c>
      <c r="H783" t="s">
        <v>12</v>
      </c>
      <c r="I783" t="s">
        <v>12</v>
      </c>
      <c r="J783" t="s">
        <v>25</v>
      </c>
      <c r="K783" t="s">
        <v>28</v>
      </c>
      <c r="L783">
        <f t="shared" si="12"/>
        <v>0.28070634697952734</v>
      </c>
    </row>
    <row r="784" spans="1:12" x14ac:dyDescent="0.2">
      <c r="A784">
        <v>810</v>
      </c>
      <c r="B784" t="s">
        <v>310</v>
      </c>
      <c r="C784" t="s">
        <v>17</v>
      </c>
      <c r="D784" s="1">
        <v>42364</v>
      </c>
      <c r="E784" s="2">
        <v>10629719000</v>
      </c>
      <c r="F784" s="2">
        <v>7617460000</v>
      </c>
      <c r="G784" s="2">
        <v>2243356000</v>
      </c>
      <c r="H784" t="s">
        <v>12</v>
      </c>
      <c r="I784" t="s">
        <v>12</v>
      </c>
      <c r="J784" t="s">
        <v>25</v>
      </c>
      <c r="K784" t="s">
        <v>28</v>
      </c>
      <c r="L784">
        <f t="shared" si="12"/>
        <v>0.28338086829952891</v>
      </c>
    </row>
    <row r="785" spans="1:12" x14ac:dyDescent="0.2">
      <c r="A785">
        <v>811</v>
      </c>
      <c r="B785" t="s">
        <v>311</v>
      </c>
      <c r="C785" t="s">
        <v>11</v>
      </c>
      <c r="D785" s="1">
        <v>41274</v>
      </c>
      <c r="E785" s="2">
        <v>5059000000</v>
      </c>
      <c r="F785" s="2">
        <v>1885000000</v>
      </c>
      <c r="G785" s="2">
        <v>2101000000</v>
      </c>
      <c r="H785" t="s">
        <v>12</v>
      </c>
      <c r="I785" s="2">
        <v>722000000</v>
      </c>
      <c r="J785" t="s">
        <v>52</v>
      </c>
      <c r="K785" t="s">
        <v>53</v>
      </c>
      <c r="L785">
        <f t="shared" si="12"/>
        <v>0.62739671871911451</v>
      </c>
    </row>
    <row r="786" spans="1:12" x14ac:dyDescent="0.2">
      <c r="A786">
        <v>812</v>
      </c>
      <c r="B786" t="s">
        <v>311</v>
      </c>
      <c r="C786" t="s">
        <v>15</v>
      </c>
      <c r="D786" s="1">
        <v>41639</v>
      </c>
      <c r="E786" s="2">
        <v>5166000000</v>
      </c>
      <c r="F786" s="2">
        <v>1989000000</v>
      </c>
      <c r="G786" s="2">
        <v>1968000000</v>
      </c>
      <c r="H786" t="s">
        <v>12</v>
      </c>
      <c r="I786" s="2">
        <v>697000000</v>
      </c>
      <c r="J786" t="s">
        <v>52</v>
      </c>
      <c r="K786" t="s">
        <v>53</v>
      </c>
      <c r="L786">
        <f t="shared" si="12"/>
        <v>0.61498257839721249</v>
      </c>
    </row>
    <row r="787" spans="1:12" x14ac:dyDescent="0.2">
      <c r="A787">
        <v>813</v>
      </c>
      <c r="B787" t="s">
        <v>311</v>
      </c>
      <c r="C787" t="s">
        <v>16</v>
      </c>
      <c r="D787" s="1">
        <v>42004</v>
      </c>
      <c r="E787" s="2">
        <v>5354000000</v>
      </c>
      <c r="F787" s="2">
        <v>2033000000</v>
      </c>
      <c r="G787" s="2">
        <v>1920000000</v>
      </c>
      <c r="H787" t="s">
        <v>12</v>
      </c>
      <c r="I787" s="2">
        <v>701000000</v>
      </c>
      <c r="J787" t="s">
        <v>52</v>
      </c>
      <c r="K787" t="s">
        <v>53</v>
      </c>
      <c r="L787">
        <f t="shared" si="12"/>
        <v>0.62028389988793431</v>
      </c>
    </row>
    <row r="788" spans="1:12" x14ac:dyDescent="0.2">
      <c r="A788">
        <v>814</v>
      </c>
      <c r="B788" t="s">
        <v>311</v>
      </c>
      <c r="C788" t="s">
        <v>17</v>
      </c>
      <c r="D788" s="1">
        <v>42369</v>
      </c>
      <c r="E788" s="2">
        <v>5387000000</v>
      </c>
      <c r="F788" s="2">
        <v>2012000000</v>
      </c>
      <c r="G788" s="2">
        <v>2011000000</v>
      </c>
      <c r="H788" t="s">
        <v>12</v>
      </c>
      <c r="I788" s="2">
        <v>716000000</v>
      </c>
      <c r="J788" t="s">
        <v>52</v>
      </c>
      <c r="K788" t="s">
        <v>53</v>
      </c>
      <c r="L788">
        <f t="shared" si="12"/>
        <v>0.62650826062743636</v>
      </c>
    </row>
    <row r="789" spans="1:12" x14ac:dyDescent="0.2">
      <c r="A789">
        <v>815</v>
      </c>
      <c r="B789" t="s">
        <v>312</v>
      </c>
      <c r="C789" t="s">
        <v>11</v>
      </c>
      <c r="D789" s="1">
        <v>41274</v>
      </c>
      <c r="E789" s="2">
        <v>6644252000</v>
      </c>
      <c r="F789" s="2">
        <v>3784370000</v>
      </c>
      <c r="G789" s="2">
        <v>1703796000</v>
      </c>
      <c r="H789" t="s">
        <v>12</v>
      </c>
      <c r="I789" t="s">
        <v>12</v>
      </c>
      <c r="J789" t="s">
        <v>36</v>
      </c>
      <c r="K789" t="s">
        <v>124</v>
      </c>
      <c r="L789">
        <f t="shared" si="12"/>
        <v>0.43042949003138353</v>
      </c>
    </row>
    <row r="790" spans="1:12" x14ac:dyDescent="0.2">
      <c r="A790">
        <v>816</v>
      </c>
      <c r="B790" t="s">
        <v>312</v>
      </c>
      <c r="C790" t="s">
        <v>15</v>
      </c>
      <c r="D790" s="1">
        <v>41639</v>
      </c>
      <c r="E790" s="2">
        <v>7146079000</v>
      </c>
      <c r="F790" s="2">
        <v>3865231000</v>
      </c>
      <c r="G790" s="2">
        <v>1924132000</v>
      </c>
      <c r="H790" t="s">
        <v>12</v>
      </c>
      <c r="I790" t="s">
        <v>12</v>
      </c>
      <c r="J790" t="s">
        <v>36</v>
      </c>
      <c r="K790" t="s">
        <v>124</v>
      </c>
      <c r="L790">
        <f t="shared" si="12"/>
        <v>0.45911163310677083</v>
      </c>
    </row>
    <row r="791" spans="1:12" x14ac:dyDescent="0.2">
      <c r="A791">
        <v>817</v>
      </c>
      <c r="B791" t="s">
        <v>312</v>
      </c>
      <c r="C791" t="s">
        <v>16</v>
      </c>
      <c r="D791" s="1">
        <v>42004</v>
      </c>
      <c r="E791" s="2">
        <v>7421768000</v>
      </c>
      <c r="F791" s="2">
        <v>4085602000</v>
      </c>
      <c r="G791" s="2">
        <v>1898284000</v>
      </c>
      <c r="H791" t="s">
        <v>12</v>
      </c>
      <c r="I791" t="s">
        <v>12</v>
      </c>
      <c r="J791" t="s">
        <v>36</v>
      </c>
      <c r="K791" t="s">
        <v>124</v>
      </c>
      <c r="L791">
        <f t="shared" si="12"/>
        <v>0.44951095210736847</v>
      </c>
    </row>
    <row r="792" spans="1:12" x14ac:dyDescent="0.2">
      <c r="A792">
        <v>818</v>
      </c>
      <c r="B792" t="s">
        <v>312</v>
      </c>
      <c r="C792" t="s">
        <v>17</v>
      </c>
      <c r="D792" s="1">
        <v>42369</v>
      </c>
      <c r="E792" s="2">
        <v>7386626000</v>
      </c>
      <c r="F792" s="2">
        <v>4003951000</v>
      </c>
      <c r="G792" s="2">
        <v>1969308000</v>
      </c>
      <c r="H792" t="s">
        <v>12</v>
      </c>
      <c r="I792" t="s">
        <v>12</v>
      </c>
      <c r="J792" t="s">
        <v>36</v>
      </c>
      <c r="K792" t="s">
        <v>124</v>
      </c>
      <c r="L792">
        <f t="shared" si="12"/>
        <v>0.45794588760822597</v>
      </c>
    </row>
    <row r="793" spans="1:12" x14ac:dyDescent="0.2">
      <c r="A793">
        <v>819</v>
      </c>
      <c r="B793" t="s">
        <v>313</v>
      </c>
      <c r="C793" t="s">
        <v>11</v>
      </c>
      <c r="D793" s="1">
        <v>41639</v>
      </c>
      <c r="E793" s="2">
        <v>41313000000</v>
      </c>
      <c r="F793" s="2">
        <v>32564000000</v>
      </c>
      <c r="G793" t="s">
        <v>12</v>
      </c>
      <c r="H793" t="s">
        <v>12</v>
      </c>
      <c r="I793" s="2">
        <v>6688000000</v>
      </c>
      <c r="J793" t="s">
        <v>25</v>
      </c>
      <c r="K793" t="s">
        <v>81</v>
      </c>
      <c r="L793">
        <f t="shared" si="12"/>
        <v>0.21177353375450825</v>
      </c>
    </row>
    <row r="794" spans="1:12" x14ac:dyDescent="0.2">
      <c r="A794">
        <v>820</v>
      </c>
      <c r="B794" t="s">
        <v>313</v>
      </c>
      <c r="C794" t="s">
        <v>15</v>
      </c>
      <c r="D794" s="1">
        <v>42004</v>
      </c>
      <c r="E794" s="2">
        <v>48500000000</v>
      </c>
      <c r="F794" s="2">
        <v>38166000000</v>
      </c>
      <c r="G794" t="s">
        <v>12</v>
      </c>
      <c r="H794" t="s">
        <v>12</v>
      </c>
      <c r="I794" s="2">
        <v>7972000000</v>
      </c>
      <c r="J794" t="s">
        <v>25</v>
      </c>
      <c r="K794" t="s">
        <v>81</v>
      </c>
      <c r="L794">
        <f t="shared" si="12"/>
        <v>0.2130721649484536</v>
      </c>
    </row>
    <row r="795" spans="1:12" x14ac:dyDescent="0.2">
      <c r="A795">
        <v>821</v>
      </c>
      <c r="B795" t="s">
        <v>313</v>
      </c>
      <c r="C795" t="s">
        <v>16</v>
      </c>
      <c r="D795" s="1">
        <v>42369</v>
      </c>
      <c r="E795" s="2">
        <v>54289000000</v>
      </c>
      <c r="F795" s="2">
        <v>44269000000</v>
      </c>
      <c r="G795" t="s">
        <v>12</v>
      </c>
      <c r="H795" t="s">
        <v>12</v>
      </c>
      <c r="I795" s="2">
        <v>7673000000</v>
      </c>
      <c r="J795" t="s">
        <v>25</v>
      </c>
      <c r="K795" t="s">
        <v>81</v>
      </c>
      <c r="L795">
        <f t="shared" si="12"/>
        <v>0.18456777616091657</v>
      </c>
    </row>
    <row r="796" spans="1:12" x14ac:dyDescent="0.2">
      <c r="A796">
        <v>822</v>
      </c>
      <c r="B796" t="s">
        <v>313</v>
      </c>
      <c r="C796" t="s">
        <v>17</v>
      </c>
      <c r="D796" s="1">
        <v>42735</v>
      </c>
      <c r="E796" s="2">
        <v>54379000000</v>
      </c>
      <c r="F796" s="2">
        <v>45007000000</v>
      </c>
      <c r="G796" t="s">
        <v>12</v>
      </c>
      <c r="H796" t="s">
        <v>12</v>
      </c>
      <c r="I796" s="2">
        <v>7631000000</v>
      </c>
      <c r="J796" t="s">
        <v>25</v>
      </c>
      <c r="K796" t="s">
        <v>81</v>
      </c>
      <c r="L796">
        <f t="shared" si="12"/>
        <v>0.17234594236745804</v>
      </c>
    </row>
    <row r="797" spans="1:12" x14ac:dyDescent="0.2">
      <c r="A797">
        <v>823</v>
      </c>
      <c r="B797" t="s">
        <v>314</v>
      </c>
      <c r="C797" t="s">
        <v>11</v>
      </c>
      <c r="D797" s="1">
        <v>41274</v>
      </c>
      <c r="E797" s="2">
        <v>102874000000</v>
      </c>
      <c r="F797" s="2">
        <v>52513000000</v>
      </c>
      <c r="G797" s="2">
        <v>22389000000</v>
      </c>
      <c r="H797" s="2">
        <v>5816000000</v>
      </c>
      <c r="I797" t="s">
        <v>12</v>
      </c>
      <c r="J797" t="s">
        <v>22</v>
      </c>
      <c r="K797" t="s">
        <v>176</v>
      </c>
      <c r="L797">
        <f t="shared" si="12"/>
        <v>0.48954060306783054</v>
      </c>
    </row>
    <row r="798" spans="1:12" x14ac:dyDescent="0.2">
      <c r="A798">
        <v>824</v>
      </c>
      <c r="B798" t="s">
        <v>314</v>
      </c>
      <c r="C798" t="s">
        <v>15</v>
      </c>
      <c r="D798" s="1">
        <v>41639</v>
      </c>
      <c r="E798" s="2">
        <v>98367000000</v>
      </c>
      <c r="F798" s="2">
        <v>49683000000</v>
      </c>
      <c r="G798" s="2">
        <v>22629000000</v>
      </c>
      <c r="H798" s="2">
        <v>5743000000</v>
      </c>
      <c r="I798" t="s">
        <v>12</v>
      </c>
      <c r="J798" t="s">
        <v>22</v>
      </c>
      <c r="K798" t="s">
        <v>176</v>
      </c>
      <c r="L798">
        <f t="shared" si="12"/>
        <v>0.49492207752599959</v>
      </c>
    </row>
    <row r="799" spans="1:12" x14ac:dyDescent="0.2">
      <c r="A799">
        <v>825</v>
      </c>
      <c r="B799" t="s">
        <v>314</v>
      </c>
      <c r="C799" t="s">
        <v>16</v>
      </c>
      <c r="D799" s="1">
        <v>42004</v>
      </c>
      <c r="E799" s="2">
        <v>92793000000</v>
      </c>
      <c r="F799" s="2">
        <v>46386000000</v>
      </c>
      <c r="G799" s="2">
        <v>22438000000</v>
      </c>
      <c r="H799" s="2">
        <v>5437000000</v>
      </c>
      <c r="I799" t="s">
        <v>12</v>
      </c>
      <c r="J799" t="s">
        <v>22</v>
      </c>
      <c r="K799" t="s">
        <v>176</v>
      </c>
      <c r="L799">
        <f t="shared" si="12"/>
        <v>0.50011315508712939</v>
      </c>
    </row>
    <row r="800" spans="1:12" x14ac:dyDescent="0.2">
      <c r="A800">
        <v>826</v>
      </c>
      <c r="B800" t="s">
        <v>314</v>
      </c>
      <c r="C800" t="s">
        <v>17</v>
      </c>
      <c r="D800" s="1">
        <v>42369</v>
      </c>
      <c r="E800" s="2">
        <v>81741000000</v>
      </c>
      <c r="F800" s="2">
        <v>41057000000</v>
      </c>
      <c r="G800" s="2">
        <v>19748000000</v>
      </c>
      <c r="H800" s="2">
        <v>5247000000</v>
      </c>
      <c r="I800" t="s">
        <v>12</v>
      </c>
      <c r="J800" t="s">
        <v>22</v>
      </c>
      <c r="K800" t="s">
        <v>176</v>
      </c>
      <c r="L800">
        <f t="shared" si="12"/>
        <v>0.4977184032492874</v>
      </c>
    </row>
    <row r="801" spans="1:12" x14ac:dyDescent="0.2">
      <c r="A801">
        <v>827</v>
      </c>
      <c r="B801" t="s">
        <v>315</v>
      </c>
      <c r="C801" t="s">
        <v>11</v>
      </c>
      <c r="D801" s="1">
        <v>41274</v>
      </c>
      <c r="E801" s="2">
        <v>1293338000</v>
      </c>
      <c r="F801" s="2">
        <v>594190000</v>
      </c>
      <c r="G801" s="2">
        <v>354571000</v>
      </c>
      <c r="H801" s="2">
        <v>82014000</v>
      </c>
      <c r="I801" t="s">
        <v>12</v>
      </c>
      <c r="J801" t="s">
        <v>25</v>
      </c>
      <c r="K801" t="s">
        <v>30</v>
      </c>
      <c r="L801">
        <f t="shared" si="12"/>
        <v>0.54057639998206186</v>
      </c>
    </row>
    <row r="802" spans="1:12" x14ac:dyDescent="0.2">
      <c r="A802">
        <v>828</v>
      </c>
      <c r="B802" t="s">
        <v>315</v>
      </c>
      <c r="C802" t="s">
        <v>15</v>
      </c>
      <c r="D802" s="1">
        <v>41639</v>
      </c>
      <c r="E802" s="2">
        <v>1377058000</v>
      </c>
      <c r="F802" s="2">
        <v>620940000</v>
      </c>
      <c r="G802" s="2">
        <v>401353000</v>
      </c>
      <c r="H802" s="2">
        <v>88003000</v>
      </c>
      <c r="I802" t="s">
        <v>12</v>
      </c>
      <c r="J802" t="s">
        <v>25</v>
      </c>
      <c r="K802" t="s">
        <v>30</v>
      </c>
      <c r="L802">
        <f t="shared" si="12"/>
        <v>0.54908217373560153</v>
      </c>
    </row>
    <row r="803" spans="1:12" x14ac:dyDescent="0.2">
      <c r="A803">
        <v>829</v>
      </c>
      <c r="B803" t="s">
        <v>315</v>
      </c>
      <c r="C803" t="s">
        <v>16</v>
      </c>
      <c r="D803" s="1">
        <v>42004</v>
      </c>
      <c r="E803" s="2">
        <v>1485807000</v>
      </c>
      <c r="F803" s="2">
        <v>669691000</v>
      </c>
      <c r="G803" s="2">
        <v>457598000</v>
      </c>
      <c r="H803" s="2">
        <v>98263000</v>
      </c>
      <c r="I803" t="s">
        <v>12</v>
      </c>
      <c r="J803" t="s">
        <v>25</v>
      </c>
      <c r="K803" t="s">
        <v>30</v>
      </c>
      <c r="L803">
        <f t="shared" si="12"/>
        <v>0.5492745693081269</v>
      </c>
    </row>
    <row r="804" spans="1:12" x14ac:dyDescent="0.2">
      <c r="A804">
        <v>830</v>
      </c>
      <c r="B804" t="s">
        <v>315</v>
      </c>
      <c r="C804" t="s">
        <v>17</v>
      </c>
      <c r="D804" s="1">
        <v>42369</v>
      </c>
      <c r="E804" s="2">
        <v>1601892000</v>
      </c>
      <c r="F804" s="2">
        <v>711622000</v>
      </c>
      <c r="G804" s="2">
        <v>482465000</v>
      </c>
      <c r="H804" s="2">
        <v>99681000</v>
      </c>
      <c r="I804" t="s">
        <v>12</v>
      </c>
      <c r="J804" t="s">
        <v>25</v>
      </c>
      <c r="K804" t="s">
        <v>30</v>
      </c>
      <c r="L804">
        <f t="shared" si="12"/>
        <v>0.55576156195299053</v>
      </c>
    </row>
    <row r="805" spans="1:12" x14ac:dyDescent="0.2">
      <c r="A805">
        <v>831</v>
      </c>
      <c r="B805" t="s">
        <v>316</v>
      </c>
      <c r="C805" t="s">
        <v>11</v>
      </c>
      <c r="D805" s="1">
        <v>41274</v>
      </c>
      <c r="E805" s="2">
        <v>2821446000</v>
      </c>
      <c r="F805" s="2">
        <v>1645912000</v>
      </c>
      <c r="G805" s="2">
        <v>453535000</v>
      </c>
      <c r="H805" s="2">
        <v>233713000</v>
      </c>
      <c r="I805" t="s">
        <v>12</v>
      </c>
      <c r="J805" t="s">
        <v>59</v>
      </c>
      <c r="K805" t="s">
        <v>60</v>
      </c>
      <c r="L805">
        <f t="shared" si="12"/>
        <v>0.4166423883356265</v>
      </c>
    </row>
    <row r="806" spans="1:12" x14ac:dyDescent="0.2">
      <c r="A806">
        <v>832</v>
      </c>
      <c r="B806" t="s">
        <v>316</v>
      </c>
      <c r="C806" t="s">
        <v>15</v>
      </c>
      <c r="D806" s="1">
        <v>41639</v>
      </c>
      <c r="E806" s="2">
        <v>2952896000</v>
      </c>
      <c r="F806" s="2">
        <v>1668691000</v>
      </c>
      <c r="G806" s="2">
        <v>505877000</v>
      </c>
      <c r="H806" s="2">
        <v>259838000</v>
      </c>
      <c r="I806" t="s">
        <v>12</v>
      </c>
      <c r="J806" t="s">
        <v>59</v>
      </c>
      <c r="K806" t="s">
        <v>60</v>
      </c>
      <c r="L806">
        <f t="shared" si="12"/>
        <v>0.43489679284336458</v>
      </c>
    </row>
    <row r="807" spans="1:12" x14ac:dyDescent="0.2">
      <c r="A807">
        <v>833</v>
      </c>
      <c r="B807" t="s">
        <v>316</v>
      </c>
      <c r="C807" t="s">
        <v>16</v>
      </c>
      <c r="D807" s="1">
        <v>42004</v>
      </c>
      <c r="E807" s="2">
        <v>3088533000</v>
      </c>
      <c r="F807" s="2">
        <v>1726383000</v>
      </c>
      <c r="G807" s="2">
        <v>514891000</v>
      </c>
      <c r="H807" s="2">
        <v>253640000</v>
      </c>
      <c r="I807" t="s">
        <v>12</v>
      </c>
      <c r="J807" t="s">
        <v>59</v>
      </c>
      <c r="K807" t="s">
        <v>60</v>
      </c>
      <c r="L807">
        <f t="shared" si="12"/>
        <v>0.44103462711908858</v>
      </c>
    </row>
    <row r="808" spans="1:12" x14ac:dyDescent="0.2">
      <c r="A808">
        <v>834</v>
      </c>
      <c r="B808" t="s">
        <v>316</v>
      </c>
      <c r="C808" t="s">
        <v>17</v>
      </c>
      <c r="D808" s="1">
        <v>42369</v>
      </c>
      <c r="E808" s="2">
        <v>3023189000</v>
      </c>
      <c r="F808" s="2">
        <v>1671590000</v>
      </c>
      <c r="G808" s="2">
        <v>509557000</v>
      </c>
      <c r="H808" s="2">
        <v>246101000</v>
      </c>
      <c r="I808" t="s">
        <v>12</v>
      </c>
      <c r="J808" t="s">
        <v>59</v>
      </c>
      <c r="K808" t="s">
        <v>60</v>
      </c>
      <c r="L808">
        <f t="shared" si="12"/>
        <v>0.44707724194550857</v>
      </c>
    </row>
    <row r="809" spans="1:12" x14ac:dyDescent="0.2">
      <c r="A809">
        <v>835</v>
      </c>
      <c r="B809" t="s">
        <v>317</v>
      </c>
      <c r="C809" t="s">
        <v>11</v>
      </c>
      <c r="D809" s="1">
        <v>41637</v>
      </c>
      <c r="E809" s="2">
        <v>1421178000</v>
      </c>
      <c r="F809" s="2">
        <v>509291000</v>
      </c>
      <c r="G809" s="2">
        <v>397285000</v>
      </c>
      <c r="H809" s="2">
        <v>276743000</v>
      </c>
      <c r="I809" t="s">
        <v>12</v>
      </c>
      <c r="J809" t="s">
        <v>25</v>
      </c>
      <c r="K809" t="s">
        <v>318</v>
      </c>
      <c r="L809">
        <f t="shared" si="12"/>
        <v>0.64164165220683123</v>
      </c>
    </row>
    <row r="810" spans="1:12" x14ac:dyDescent="0.2">
      <c r="A810">
        <v>836</v>
      </c>
      <c r="B810" t="s">
        <v>317</v>
      </c>
      <c r="C810" t="s">
        <v>15</v>
      </c>
      <c r="D810" s="1">
        <v>42001</v>
      </c>
      <c r="E810" s="2">
        <v>1861358000</v>
      </c>
      <c r="F810" s="2">
        <v>563648000</v>
      </c>
      <c r="G810" s="2">
        <v>471921000</v>
      </c>
      <c r="H810" s="2">
        <v>388055000</v>
      </c>
      <c r="I810" t="s">
        <v>12</v>
      </c>
      <c r="J810" t="s">
        <v>25</v>
      </c>
      <c r="K810" t="s">
        <v>318</v>
      </c>
      <c r="L810">
        <f t="shared" si="12"/>
        <v>0.69718452871505643</v>
      </c>
    </row>
    <row r="811" spans="1:12" x14ac:dyDescent="0.2">
      <c r="A811">
        <v>837</v>
      </c>
      <c r="B811" t="s">
        <v>317</v>
      </c>
      <c r="C811" t="s">
        <v>16</v>
      </c>
      <c r="D811" s="1">
        <v>42372</v>
      </c>
      <c r="E811" s="2">
        <v>2219762000</v>
      </c>
      <c r="F811" s="2">
        <v>670472000</v>
      </c>
      <c r="G811" s="2">
        <v>522046000</v>
      </c>
      <c r="H811" s="2">
        <v>401527000</v>
      </c>
      <c r="I811" t="s">
        <v>12</v>
      </c>
      <c r="J811" t="s">
        <v>25</v>
      </c>
      <c r="K811" t="s">
        <v>318</v>
      </c>
      <c r="L811">
        <f t="shared" si="12"/>
        <v>0.69795320399213967</v>
      </c>
    </row>
    <row r="812" spans="1:12" x14ac:dyDescent="0.2">
      <c r="A812">
        <v>838</v>
      </c>
      <c r="B812" t="s">
        <v>317</v>
      </c>
      <c r="C812" t="s">
        <v>17</v>
      </c>
      <c r="D812" s="1">
        <v>42736</v>
      </c>
      <c r="E812" s="2">
        <v>2398373000</v>
      </c>
      <c r="F812" s="2">
        <v>731925000</v>
      </c>
      <c r="G812" s="2">
        <v>584491000</v>
      </c>
      <c r="H812" s="2">
        <v>504415000</v>
      </c>
      <c r="I812" t="s">
        <v>12</v>
      </c>
      <c r="J812" t="s">
        <v>25</v>
      </c>
      <c r="K812" t="s">
        <v>318</v>
      </c>
      <c r="L812">
        <f t="shared" si="12"/>
        <v>0.69482436635168932</v>
      </c>
    </row>
    <row r="813" spans="1:12" x14ac:dyDescent="0.2">
      <c r="A813">
        <v>839</v>
      </c>
      <c r="B813" t="s">
        <v>319</v>
      </c>
      <c r="C813" t="s">
        <v>11</v>
      </c>
      <c r="D813" s="1">
        <v>41636</v>
      </c>
      <c r="E813" s="2">
        <v>52708000000</v>
      </c>
      <c r="F813" s="2">
        <v>21187000000</v>
      </c>
      <c r="G813" s="2">
        <v>8088000000</v>
      </c>
      <c r="H813" s="2">
        <v>10611000000</v>
      </c>
      <c r="I813" s="2">
        <v>291000000</v>
      </c>
      <c r="J813" t="s">
        <v>22</v>
      </c>
      <c r="K813" t="s">
        <v>34</v>
      </c>
      <c r="L813">
        <f t="shared" si="12"/>
        <v>0.5980306594824315</v>
      </c>
    </row>
    <row r="814" spans="1:12" x14ac:dyDescent="0.2">
      <c r="A814">
        <v>840</v>
      </c>
      <c r="B814" t="s">
        <v>319</v>
      </c>
      <c r="C814" t="s">
        <v>15</v>
      </c>
      <c r="D814" s="1">
        <v>42000</v>
      </c>
      <c r="E814" s="2">
        <v>55870000000</v>
      </c>
      <c r="F814" s="2">
        <v>20261000000</v>
      </c>
      <c r="G814" s="2">
        <v>8136000000</v>
      </c>
      <c r="H814" s="2">
        <v>11537000000</v>
      </c>
      <c r="I814" s="2">
        <v>294000000</v>
      </c>
      <c r="J814" t="s">
        <v>22</v>
      </c>
      <c r="K814" t="s">
        <v>34</v>
      </c>
      <c r="L814">
        <f t="shared" si="12"/>
        <v>0.6373545731161625</v>
      </c>
    </row>
    <row r="815" spans="1:12" x14ac:dyDescent="0.2">
      <c r="A815">
        <v>841</v>
      </c>
      <c r="B815" t="s">
        <v>319</v>
      </c>
      <c r="C815" t="s">
        <v>16</v>
      </c>
      <c r="D815" s="1">
        <v>42364</v>
      </c>
      <c r="E815" s="2">
        <v>55355000000</v>
      </c>
      <c r="F815" s="2">
        <v>20676000000</v>
      </c>
      <c r="G815" s="2">
        <v>7930000000</v>
      </c>
      <c r="H815" s="2">
        <v>12128000000</v>
      </c>
      <c r="I815" s="2">
        <v>265000000</v>
      </c>
      <c r="J815" t="s">
        <v>22</v>
      </c>
      <c r="K815" t="s">
        <v>34</v>
      </c>
      <c r="L815">
        <f t="shared" si="12"/>
        <v>0.62648360581699936</v>
      </c>
    </row>
    <row r="816" spans="1:12" x14ac:dyDescent="0.2">
      <c r="A816">
        <v>842</v>
      </c>
      <c r="B816" t="s">
        <v>319</v>
      </c>
      <c r="C816" t="s">
        <v>17</v>
      </c>
      <c r="D816" s="1">
        <v>42735</v>
      </c>
      <c r="E816" s="2">
        <v>59387000000</v>
      </c>
      <c r="F816" s="2">
        <v>23196000000</v>
      </c>
      <c r="G816" s="2">
        <v>8397000000</v>
      </c>
      <c r="H816" s="2">
        <v>12740000000</v>
      </c>
      <c r="I816" s="2">
        <v>294000000</v>
      </c>
      <c r="J816" t="s">
        <v>22</v>
      </c>
      <c r="K816" t="s">
        <v>34</v>
      </c>
      <c r="L816">
        <f t="shared" si="12"/>
        <v>0.60940946671830543</v>
      </c>
    </row>
    <row r="817" spans="1:12" x14ac:dyDescent="0.2">
      <c r="A817">
        <v>843</v>
      </c>
      <c r="B817" t="s">
        <v>320</v>
      </c>
      <c r="C817" t="s">
        <v>11</v>
      </c>
      <c r="D817" s="1">
        <v>41486</v>
      </c>
      <c r="E817" s="2">
        <v>3946000000</v>
      </c>
      <c r="F817" s="2">
        <v>527000000</v>
      </c>
      <c r="G817" s="2">
        <v>1534000000</v>
      </c>
      <c r="H817" s="2">
        <v>647000000</v>
      </c>
      <c r="I817" s="2">
        <v>30000000</v>
      </c>
      <c r="J817" t="s">
        <v>22</v>
      </c>
      <c r="K817" t="s">
        <v>57</v>
      </c>
      <c r="L817">
        <f t="shared" si="12"/>
        <v>0.86644703497212361</v>
      </c>
    </row>
    <row r="818" spans="1:12" x14ac:dyDescent="0.2">
      <c r="A818">
        <v>844</v>
      </c>
      <c r="B818" t="s">
        <v>320</v>
      </c>
      <c r="C818" t="s">
        <v>15</v>
      </c>
      <c r="D818" s="1">
        <v>41851</v>
      </c>
      <c r="E818" s="2">
        <v>4243000000</v>
      </c>
      <c r="F818" s="2">
        <v>603000000</v>
      </c>
      <c r="G818" s="2">
        <v>1601000000</v>
      </c>
      <c r="H818" s="2">
        <v>714000000</v>
      </c>
      <c r="I818" s="2">
        <v>25000000</v>
      </c>
      <c r="J818" t="s">
        <v>22</v>
      </c>
      <c r="K818" t="s">
        <v>57</v>
      </c>
      <c r="L818">
        <f t="shared" si="12"/>
        <v>0.8578835729436719</v>
      </c>
    </row>
    <row r="819" spans="1:12" x14ac:dyDescent="0.2">
      <c r="A819">
        <v>845</v>
      </c>
      <c r="B819" t="s">
        <v>320</v>
      </c>
      <c r="C819" t="s">
        <v>16</v>
      </c>
      <c r="D819" s="1">
        <v>42216</v>
      </c>
      <c r="E819" s="2">
        <v>4192000000</v>
      </c>
      <c r="F819" s="2">
        <v>695000000</v>
      </c>
      <c r="G819" s="2">
        <v>1771000000</v>
      </c>
      <c r="H819" s="2">
        <v>798000000</v>
      </c>
      <c r="I819" s="2">
        <v>42000000</v>
      </c>
      <c r="J819" t="s">
        <v>22</v>
      </c>
      <c r="K819" t="s">
        <v>57</v>
      </c>
      <c r="L819">
        <f t="shared" si="12"/>
        <v>0.83420801526717558</v>
      </c>
    </row>
    <row r="820" spans="1:12" x14ac:dyDescent="0.2">
      <c r="A820">
        <v>846</v>
      </c>
      <c r="B820" t="s">
        <v>320</v>
      </c>
      <c r="C820" t="s">
        <v>17</v>
      </c>
      <c r="D820" s="1">
        <v>42582</v>
      </c>
      <c r="E820" s="2">
        <v>4694000000</v>
      </c>
      <c r="F820" s="2">
        <v>730000000</v>
      </c>
      <c r="G820" s="2">
        <v>1807000000</v>
      </c>
      <c r="H820" s="2">
        <v>881000000</v>
      </c>
      <c r="I820" s="2">
        <v>34000000</v>
      </c>
      <c r="J820" t="s">
        <v>22</v>
      </c>
      <c r="K820" t="s">
        <v>57</v>
      </c>
      <c r="L820">
        <f t="shared" si="12"/>
        <v>0.84448231785257777</v>
      </c>
    </row>
    <row r="821" spans="1:12" x14ac:dyDescent="0.2">
      <c r="A821">
        <v>847</v>
      </c>
      <c r="B821" t="s">
        <v>321</v>
      </c>
      <c r="C821" t="s">
        <v>11</v>
      </c>
      <c r="D821" s="1">
        <v>41274</v>
      </c>
      <c r="E821" s="2">
        <v>21852000000</v>
      </c>
      <c r="F821" s="2">
        <v>15287000000</v>
      </c>
      <c r="G821" s="2">
        <v>3303000000</v>
      </c>
      <c r="H821" t="s">
        <v>12</v>
      </c>
      <c r="I821" s="2">
        <v>1473000000</v>
      </c>
      <c r="J821" t="s">
        <v>59</v>
      </c>
      <c r="K821" t="s">
        <v>96</v>
      </c>
      <c r="L821">
        <f t="shared" si="12"/>
        <v>0.30043016657514188</v>
      </c>
    </row>
    <row r="822" spans="1:12" x14ac:dyDescent="0.2">
      <c r="A822">
        <v>848</v>
      </c>
      <c r="B822" t="s">
        <v>321</v>
      </c>
      <c r="C822" t="s">
        <v>15</v>
      </c>
      <c r="D822" s="1">
        <v>41639</v>
      </c>
      <c r="E822" s="2">
        <v>23483000000</v>
      </c>
      <c r="F822" s="2">
        <v>16282000000</v>
      </c>
      <c r="G822" s="2">
        <v>3557000000</v>
      </c>
      <c r="H822" t="s">
        <v>12</v>
      </c>
      <c r="I822" s="2">
        <v>1531000000</v>
      </c>
      <c r="J822" t="s">
        <v>59</v>
      </c>
      <c r="K822" t="s">
        <v>96</v>
      </c>
      <c r="L822">
        <f t="shared" si="12"/>
        <v>0.30664736192138997</v>
      </c>
    </row>
    <row r="823" spans="1:12" x14ac:dyDescent="0.2">
      <c r="A823">
        <v>849</v>
      </c>
      <c r="B823" t="s">
        <v>321</v>
      </c>
      <c r="C823" t="s">
        <v>16</v>
      </c>
      <c r="D823" s="1">
        <v>42004</v>
      </c>
      <c r="E823" s="2">
        <v>23617000000</v>
      </c>
      <c r="F823" s="2">
        <v>16254000000</v>
      </c>
      <c r="G823" s="2">
        <v>3494000000</v>
      </c>
      <c r="H823" t="s">
        <v>12</v>
      </c>
      <c r="I823" s="2">
        <v>1406000000</v>
      </c>
      <c r="J823" t="s">
        <v>59</v>
      </c>
      <c r="K823" t="s">
        <v>96</v>
      </c>
      <c r="L823">
        <f t="shared" si="12"/>
        <v>0.31176694753779055</v>
      </c>
    </row>
    <row r="824" spans="1:12" x14ac:dyDescent="0.2">
      <c r="A824">
        <v>850</v>
      </c>
      <c r="B824" t="s">
        <v>321</v>
      </c>
      <c r="C824" t="s">
        <v>17</v>
      </c>
      <c r="D824" s="1">
        <v>42369</v>
      </c>
      <c r="E824" s="2">
        <v>22365000000</v>
      </c>
      <c r="F824" s="2">
        <v>15468000000</v>
      </c>
      <c r="G824" s="2">
        <v>3219000000</v>
      </c>
      <c r="H824" t="s">
        <v>12</v>
      </c>
      <c r="I824" s="2">
        <v>1294000000</v>
      </c>
      <c r="J824" t="s">
        <v>59</v>
      </c>
      <c r="K824" t="s">
        <v>96</v>
      </c>
      <c r="L824">
        <f t="shared" si="12"/>
        <v>0.30838363514419853</v>
      </c>
    </row>
    <row r="825" spans="1:12" x14ac:dyDescent="0.2">
      <c r="A825">
        <v>851</v>
      </c>
      <c r="B825" t="s">
        <v>322</v>
      </c>
      <c r="C825" t="s">
        <v>11</v>
      </c>
      <c r="D825" s="1">
        <v>41274</v>
      </c>
      <c r="E825" s="2">
        <v>6956200000</v>
      </c>
      <c r="F825" t="s">
        <v>12</v>
      </c>
      <c r="G825" s="2">
        <v>6279100000</v>
      </c>
      <c r="H825" t="s">
        <v>12</v>
      </c>
      <c r="I825" t="s">
        <v>12</v>
      </c>
      <c r="J825" t="s">
        <v>19</v>
      </c>
      <c r="K825" t="s">
        <v>323</v>
      </c>
      <c r="L825" t="e">
        <f t="shared" si="12"/>
        <v>#VALUE!</v>
      </c>
    </row>
    <row r="826" spans="1:12" x14ac:dyDescent="0.2">
      <c r="A826">
        <v>852</v>
      </c>
      <c r="B826" t="s">
        <v>322</v>
      </c>
      <c r="C826" t="s">
        <v>15</v>
      </c>
      <c r="D826" s="1">
        <v>41639</v>
      </c>
      <c r="E826" s="2">
        <v>7122300000</v>
      </c>
      <c r="F826" t="s">
        <v>12</v>
      </c>
      <c r="G826" s="2">
        <v>6463400000</v>
      </c>
      <c r="H826" t="s">
        <v>12</v>
      </c>
      <c r="I826" t="s">
        <v>12</v>
      </c>
      <c r="J826" t="s">
        <v>19</v>
      </c>
      <c r="K826" t="s">
        <v>323</v>
      </c>
      <c r="L826" t="e">
        <f t="shared" si="12"/>
        <v>#VALUE!</v>
      </c>
    </row>
    <row r="827" spans="1:12" x14ac:dyDescent="0.2">
      <c r="A827">
        <v>853</v>
      </c>
      <c r="B827" t="s">
        <v>322</v>
      </c>
      <c r="C827" t="s">
        <v>16</v>
      </c>
      <c r="D827" s="1">
        <v>42004</v>
      </c>
      <c r="E827" s="2">
        <v>7537100000</v>
      </c>
      <c r="F827" t="s">
        <v>12</v>
      </c>
      <c r="G827" s="2">
        <v>6748500000</v>
      </c>
      <c r="H827" t="s">
        <v>12</v>
      </c>
      <c r="I827" t="s">
        <v>12</v>
      </c>
      <c r="J827" t="s">
        <v>19</v>
      </c>
      <c r="K827" t="s">
        <v>323</v>
      </c>
      <c r="L827" t="e">
        <f t="shared" si="12"/>
        <v>#VALUE!</v>
      </c>
    </row>
    <row r="828" spans="1:12" x14ac:dyDescent="0.2">
      <c r="A828">
        <v>854</v>
      </c>
      <c r="B828" t="s">
        <v>322</v>
      </c>
      <c r="C828" t="s">
        <v>17</v>
      </c>
      <c r="D828" s="1">
        <v>42369</v>
      </c>
      <c r="E828" s="2">
        <v>7613800000</v>
      </c>
      <c r="F828" t="s">
        <v>12</v>
      </c>
      <c r="G828" s="2">
        <v>6742700000</v>
      </c>
      <c r="H828" t="s">
        <v>12</v>
      </c>
      <c r="I828" t="s">
        <v>12</v>
      </c>
      <c r="J828" t="s">
        <v>19</v>
      </c>
      <c r="K828" t="s">
        <v>323</v>
      </c>
      <c r="L828" t="e">
        <f t="shared" si="12"/>
        <v>#VALUE!</v>
      </c>
    </row>
    <row r="829" spans="1:12" x14ac:dyDescent="0.2">
      <c r="A829">
        <v>855</v>
      </c>
      <c r="B829" t="s">
        <v>324</v>
      </c>
      <c r="C829" t="s">
        <v>11</v>
      </c>
      <c r="D829" s="1">
        <v>41274</v>
      </c>
      <c r="E829" s="2">
        <v>3003955000</v>
      </c>
      <c r="F829" s="2">
        <v>1277113000</v>
      </c>
      <c r="G829" s="2">
        <v>850371000</v>
      </c>
      <c r="H829" t="s">
        <v>12</v>
      </c>
      <c r="I829" s="2">
        <v>316344000</v>
      </c>
      <c r="J829" t="s">
        <v>52</v>
      </c>
      <c r="K829" t="s">
        <v>53</v>
      </c>
      <c r="L829">
        <f t="shared" si="12"/>
        <v>0.57485614797824869</v>
      </c>
    </row>
    <row r="830" spans="1:12" x14ac:dyDescent="0.2">
      <c r="A830">
        <v>856</v>
      </c>
      <c r="B830" t="s">
        <v>324</v>
      </c>
      <c r="C830" t="s">
        <v>15</v>
      </c>
      <c r="D830" s="1">
        <v>41639</v>
      </c>
      <c r="E830" s="2">
        <v>3024623000</v>
      </c>
      <c r="F830" s="2">
        <v>1288878000</v>
      </c>
      <c r="G830" s="2">
        <v>924031000</v>
      </c>
      <c r="H830" t="s">
        <v>12</v>
      </c>
      <c r="I830" s="2">
        <v>322037000</v>
      </c>
      <c r="J830" t="s">
        <v>52</v>
      </c>
      <c r="K830" t="s">
        <v>53</v>
      </c>
      <c r="L830">
        <f t="shared" si="12"/>
        <v>0.57387152051677182</v>
      </c>
    </row>
    <row r="831" spans="1:12" x14ac:dyDescent="0.2">
      <c r="A831">
        <v>857</v>
      </c>
      <c r="B831" t="s">
        <v>324</v>
      </c>
      <c r="C831" t="s">
        <v>16</v>
      </c>
      <c r="D831" s="1">
        <v>42004</v>
      </c>
      <c r="E831" s="2">
        <v>3117693000</v>
      </c>
      <c r="F831" s="2">
        <v>1344636000</v>
      </c>
      <c r="G831" s="2">
        <v>869572000</v>
      </c>
      <c r="H831" t="s">
        <v>12</v>
      </c>
      <c r="I831" s="2">
        <v>353143000</v>
      </c>
      <c r="J831" t="s">
        <v>52</v>
      </c>
      <c r="K831" t="s">
        <v>53</v>
      </c>
      <c r="L831">
        <f t="shared" si="12"/>
        <v>0.56870801583093655</v>
      </c>
    </row>
    <row r="832" spans="1:12" x14ac:dyDescent="0.2">
      <c r="A832">
        <v>858</v>
      </c>
      <c r="B832" t="s">
        <v>324</v>
      </c>
      <c r="C832" t="s">
        <v>17</v>
      </c>
      <c r="D832" s="1">
        <v>42369</v>
      </c>
      <c r="E832" s="2">
        <v>3007976000</v>
      </c>
      <c r="F832" s="2">
        <v>1290025000</v>
      </c>
      <c r="G832" s="2">
        <v>844960000</v>
      </c>
      <c r="H832" t="s">
        <v>12</v>
      </c>
      <c r="I832" s="2">
        <v>345464000</v>
      </c>
      <c r="J832" t="s">
        <v>52</v>
      </c>
      <c r="K832" t="s">
        <v>53</v>
      </c>
      <c r="L832">
        <f t="shared" si="12"/>
        <v>0.57113188403098958</v>
      </c>
    </row>
    <row r="833" spans="1:12" x14ac:dyDescent="0.2">
      <c r="A833">
        <v>859</v>
      </c>
      <c r="B833" t="s">
        <v>325</v>
      </c>
      <c r="C833" t="s">
        <v>11</v>
      </c>
      <c r="D833" s="1">
        <v>41639</v>
      </c>
      <c r="E833" s="2">
        <v>2265100000</v>
      </c>
      <c r="F833" s="2">
        <v>670900000</v>
      </c>
      <c r="G833" s="2">
        <v>574000000</v>
      </c>
      <c r="H833" s="2">
        <v>167700000</v>
      </c>
      <c r="I833" t="s">
        <v>12</v>
      </c>
      <c r="J833" t="s">
        <v>25</v>
      </c>
      <c r="K833" t="s">
        <v>30</v>
      </c>
      <c r="L833">
        <f t="shared" si="12"/>
        <v>0.7038099863140701</v>
      </c>
    </row>
    <row r="834" spans="1:12" x14ac:dyDescent="0.2">
      <c r="A834">
        <v>860</v>
      </c>
      <c r="B834" t="s">
        <v>325</v>
      </c>
      <c r="C834" t="s">
        <v>15</v>
      </c>
      <c r="D834" s="1">
        <v>42004</v>
      </c>
      <c r="E834" s="2">
        <v>2131700000</v>
      </c>
      <c r="F834" s="2">
        <v>717900000</v>
      </c>
      <c r="G834" s="2">
        <v>691000000</v>
      </c>
      <c r="H834" s="2">
        <v>178000000</v>
      </c>
      <c r="I834" t="s">
        <v>12</v>
      </c>
      <c r="J834" t="s">
        <v>25</v>
      </c>
      <c r="K834" t="s">
        <v>30</v>
      </c>
      <c r="L834">
        <f t="shared" si="12"/>
        <v>0.66322653281418587</v>
      </c>
    </row>
    <row r="835" spans="1:12" x14ac:dyDescent="0.2">
      <c r="A835">
        <v>861</v>
      </c>
      <c r="B835" t="s">
        <v>325</v>
      </c>
      <c r="C835" t="s">
        <v>16</v>
      </c>
      <c r="D835" s="1">
        <v>42369</v>
      </c>
      <c r="E835" s="2">
        <v>2384400000</v>
      </c>
      <c r="F835" s="2">
        <v>806500000</v>
      </c>
      <c r="G835" s="2">
        <v>640500000</v>
      </c>
      <c r="H835" s="2">
        <v>197400000</v>
      </c>
      <c r="I835" t="s">
        <v>12</v>
      </c>
      <c r="J835" t="s">
        <v>25</v>
      </c>
      <c r="K835" t="s">
        <v>30</v>
      </c>
      <c r="L835">
        <f t="shared" ref="L835:L898" si="13">1-F835/E835</f>
        <v>0.66175977185036072</v>
      </c>
    </row>
    <row r="836" spans="1:12" x14ac:dyDescent="0.2">
      <c r="A836">
        <v>862</v>
      </c>
      <c r="B836" t="s">
        <v>325</v>
      </c>
      <c r="C836" t="s">
        <v>17</v>
      </c>
      <c r="D836" s="1">
        <v>42735</v>
      </c>
      <c r="E836" s="2">
        <v>2704400000</v>
      </c>
      <c r="F836" s="2">
        <v>814300000</v>
      </c>
      <c r="G836" s="2">
        <v>705300000</v>
      </c>
      <c r="H836" s="2">
        <v>239600000</v>
      </c>
      <c r="I836" t="s">
        <v>12</v>
      </c>
      <c r="J836" t="s">
        <v>25</v>
      </c>
      <c r="K836" t="s">
        <v>30</v>
      </c>
      <c r="L836">
        <f t="shared" si="13"/>
        <v>0.69889809199822506</v>
      </c>
    </row>
    <row r="837" spans="1:12" x14ac:dyDescent="0.2">
      <c r="A837">
        <v>863</v>
      </c>
      <c r="B837" t="s">
        <v>326</v>
      </c>
      <c r="C837" t="s">
        <v>11</v>
      </c>
      <c r="D837" s="1">
        <v>41639</v>
      </c>
      <c r="E837" s="2">
        <v>14135000000</v>
      </c>
      <c r="F837" s="2">
        <v>8554000000</v>
      </c>
      <c r="G837" s="2">
        <v>2815000000</v>
      </c>
      <c r="H837" t="s">
        <v>12</v>
      </c>
      <c r="I837" s="2">
        <v>250000000</v>
      </c>
      <c r="J837" t="s">
        <v>13</v>
      </c>
      <c r="K837" t="s">
        <v>157</v>
      </c>
      <c r="L837">
        <f t="shared" si="13"/>
        <v>0.39483551467987266</v>
      </c>
    </row>
    <row r="838" spans="1:12" x14ac:dyDescent="0.2">
      <c r="A838">
        <v>864</v>
      </c>
      <c r="B838" t="s">
        <v>326</v>
      </c>
      <c r="C838" t="s">
        <v>15</v>
      </c>
      <c r="D838" s="1">
        <v>42004</v>
      </c>
      <c r="E838" s="2">
        <v>14484000000</v>
      </c>
      <c r="F838" s="2">
        <v>8673000000</v>
      </c>
      <c r="G838" s="2">
        <v>2678000000</v>
      </c>
      <c r="H838" t="s">
        <v>12</v>
      </c>
      <c r="I838" s="2">
        <v>245000000</v>
      </c>
      <c r="J838" t="s">
        <v>13</v>
      </c>
      <c r="K838" t="s">
        <v>157</v>
      </c>
      <c r="L838">
        <f t="shared" si="13"/>
        <v>0.40120132560066279</v>
      </c>
    </row>
    <row r="839" spans="1:12" x14ac:dyDescent="0.2">
      <c r="A839">
        <v>865</v>
      </c>
      <c r="B839" t="s">
        <v>326</v>
      </c>
      <c r="C839" t="s">
        <v>16</v>
      </c>
      <c r="D839" s="1">
        <v>42369</v>
      </c>
      <c r="E839" s="2">
        <v>13405000000</v>
      </c>
      <c r="F839" s="2">
        <v>7888000000</v>
      </c>
      <c r="G839" s="2">
        <v>2417000000</v>
      </c>
      <c r="H839" t="s">
        <v>12</v>
      </c>
      <c r="I839" s="2">
        <v>233000000</v>
      </c>
      <c r="J839" t="s">
        <v>13</v>
      </c>
      <c r="K839" t="s">
        <v>157</v>
      </c>
      <c r="L839">
        <f t="shared" si="13"/>
        <v>0.41156284968295409</v>
      </c>
    </row>
    <row r="840" spans="1:12" x14ac:dyDescent="0.2">
      <c r="A840">
        <v>866</v>
      </c>
      <c r="B840" t="s">
        <v>326</v>
      </c>
      <c r="C840" t="s">
        <v>17</v>
      </c>
      <c r="D840" s="1">
        <v>42735</v>
      </c>
      <c r="E840" s="2">
        <v>13599000000</v>
      </c>
      <c r="F840" s="2">
        <v>7896000000</v>
      </c>
      <c r="G840" s="2">
        <v>2415000000</v>
      </c>
      <c r="H840" t="s">
        <v>12</v>
      </c>
      <c r="I840" s="2">
        <v>224000000</v>
      </c>
      <c r="J840" t="s">
        <v>13</v>
      </c>
      <c r="K840" t="s">
        <v>157</v>
      </c>
      <c r="L840">
        <f t="shared" si="13"/>
        <v>0.41936907125523937</v>
      </c>
    </row>
    <row r="841" spans="1:12" x14ac:dyDescent="0.2">
      <c r="A841">
        <v>867</v>
      </c>
      <c r="B841" t="s">
        <v>327</v>
      </c>
      <c r="C841" t="s">
        <v>11</v>
      </c>
      <c r="D841" s="1">
        <v>41274</v>
      </c>
      <c r="E841" s="2">
        <v>4050400000</v>
      </c>
      <c r="F841" t="s">
        <v>12</v>
      </c>
      <c r="G841" s="2">
        <v>3207800000</v>
      </c>
      <c r="H841" t="s">
        <v>12</v>
      </c>
      <c r="I841" t="s">
        <v>12</v>
      </c>
      <c r="J841" t="s">
        <v>47</v>
      </c>
      <c r="K841" t="s">
        <v>73</v>
      </c>
      <c r="L841" t="e">
        <f t="shared" si="13"/>
        <v>#VALUE!</v>
      </c>
    </row>
    <row r="842" spans="1:12" x14ac:dyDescent="0.2">
      <c r="A842">
        <v>868</v>
      </c>
      <c r="B842" t="s">
        <v>327</v>
      </c>
      <c r="C842" t="s">
        <v>15</v>
      </c>
      <c r="D842" s="1">
        <v>41639</v>
      </c>
      <c r="E842" s="2">
        <v>4644600000</v>
      </c>
      <c r="F842" t="s">
        <v>12</v>
      </c>
      <c r="G842" s="2">
        <v>3524400000</v>
      </c>
      <c r="H842" t="s">
        <v>12</v>
      </c>
      <c r="I842" t="s">
        <v>12</v>
      </c>
      <c r="J842" t="s">
        <v>47</v>
      </c>
      <c r="K842" t="s">
        <v>73</v>
      </c>
      <c r="L842" t="e">
        <f t="shared" si="13"/>
        <v>#VALUE!</v>
      </c>
    </row>
    <row r="843" spans="1:12" x14ac:dyDescent="0.2">
      <c r="A843">
        <v>869</v>
      </c>
      <c r="B843" t="s">
        <v>327</v>
      </c>
      <c r="C843" t="s">
        <v>16</v>
      </c>
      <c r="D843" s="1">
        <v>42004</v>
      </c>
      <c r="E843" s="2">
        <v>5147100000</v>
      </c>
      <c r="F843" t="s">
        <v>12</v>
      </c>
      <c r="G843" s="2">
        <v>3870200000</v>
      </c>
      <c r="H843" t="s">
        <v>12</v>
      </c>
      <c r="I843" t="s">
        <v>12</v>
      </c>
      <c r="J843" t="s">
        <v>47</v>
      </c>
      <c r="K843" t="s">
        <v>73</v>
      </c>
      <c r="L843" t="e">
        <f t="shared" si="13"/>
        <v>#VALUE!</v>
      </c>
    </row>
    <row r="844" spans="1:12" x14ac:dyDescent="0.2">
      <c r="A844">
        <v>870</v>
      </c>
      <c r="B844" t="s">
        <v>327</v>
      </c>
      <c r="C844" t="s">
        <v>17</v>
      </c>
      <c r="D844" s="1">
        <v>42369</v>
      </c>
      <c r="E844" s="2">
        <v>5122900000</v>
      </c>
      <c r="F844" t="s">
        <v>12</v>
      </c>
      <c r="G844" s="2">
        <v>3764500000</v>
      </c>
      <c r="H844" t="s">
        <v>12</v>
      </c>
      <c r="I844" t="s">
        <v>12</v>
      </c>
      <c r="J844" t="s">
        <v>47</v>
      </c>
      <c r="K844" t="s">
        <v>73</v>
      </c>
      <c r="L844" t="e">
        <f t="shared" si="13"/>
        <v>#VALUE!</v>
      </c>
    </row>
    <row r="845" spans="1:12" x14ac:dyDescent="0.2">
      <c r="A845">
        <v>871</v>
      </c>
      <c r="B845" t="s">
        <v>328</v>
      </c>
      <c r="C845" t="s">
        <v>11</v>
      </c>
      <c r="D845" s="1">
        <v>41274</v>
      </c>
      <c r="E845" s="2">
        <v>5054980000</v>
      </c>
      <c r="F845" s="2">
        <v>3230857000</v>
      </c>
      <c r="G845" s="2">
        <v>1064757000</v>
      </c>
      <c r="H845" t="s">
        <v>12</v>
      </c>
      <c r="I845" s="2">
        <v>229166000</v>
      </c>
      <c r="J845" t="s">
        <v>13</v>
      </c>
      <c r="K845" t="s">
        <v>329</v>
      </c>
      <c r="L845">
        <f t="shared" si="13"/>
        <v>0.36085662059988366</v>
      </c>
    </row>
    <row r="846" spans="1:12" x14ac:dyDescent="0.2">
      <c r="A846">
        <v>872</v>
      </c>
      <c r="B846" t="s">
        <v>328</v>
      </c>
      <c r="C846" t="s">
        <v>15</v>
      </c>
      <c r="D846" s="1">
        <v>41639</v>
      </c>
      <c r="E846" s="2">
        <v>5584571000</v>
      </c>
      <c r="F846" s="2">
        <v>3570801000</v>
      </c>
      <c r="G846" s="2">
        <v>1183682000</v>
      </c>
      <c r="H846" t="s">
        <v>12</v>
      </c>
      <c r="I846" s="2">
        <v>253380000</v>
      </c>
      <c r="J846" t="s">
        <v>13</v>
      </c>
      <c r="K846" t="s">
        <v>329</v>
      </c>
      <c r="L846">
        <f t="shared" si="13"/>
        <v>0.36059529013061165</v>
      </c>
    </row>
    <row r="847" spans="1:12" x14ac:dyDescent="0.2">
      <c r="A847">
        <v>873</v>
      </c>
      <c r="B847" t="s">
        <v>328</v>
      </c>
      <c r="C847" t="s">
        <v>16</v>
      </c>
      <c r="D847" s="1">
        <v>42004</v>
      </c>
      <c r="E847" s="2">
        <v>6165441000</v>
      </c>
      <c r="F847" s="2">
        <v>3898403000</v>
      </c>
      <c r="G847" s="2">
        <v>1341000000</v>
      </c>
      <c r="H847" t="s">
        <v>12</v>
      </c>
      <c r="I847" s="2">
        <v>294496000</v>
      </c>
      <c r="J847" t="s">
        <v>13</v>
      </c>
      <c r="K847" t="s">
        <v>329</v>
      </c>
      <c r="L847">
        <f t="shared" si="13"/>
        <v>0.36770086681552872</v>
      </c>
    </row>
    <row r="848" spans="1:12" x14ac:dyDescent="0.2">
      <c r="A848">
        <v>874</v>
      </c>
      <c r="B848" t="s">
        <v>328</v>
      </c>
      <c r="C848" t="s">
        <v>17</v>
      </c>
      <c r="D848" s="1">
        <v>42369</v>
      </c>
      <c r="E848" s="2">
        <v>6187646000</v>
      </c>
      <c r="F848" s="2">
        <v>3665578000</v>
      </c>
      <c r="G848" s="2">
        <v>1466761000</v>
      </c>
      <c r="H848" t="s">
        <v>12</v>
      </c>
      <c r="I848" s="2">
        <v>339613000</v>
      </c>
      <c r="J848" t="s">
        <v>13</v>
      </c>
      <c r="K848" t="s">
        <v>329</v>
      </c>
      <c r="L848">
        <f t="shared" si="13"/>
        <v>0.40759733184477587</v>
      </c>
    </row>
    <row r="849" spans="1:12" x14ac:dyDescent="0.2">
      <c r="A849">
        <v>875</v>
      </c>
      <c r="B849" t="s">
        <v>330</v>
      </c>
      <c r="C849" t="s">
        <v>11</v>
      </c>
      <c r="D849" s="1">
        <v>41544</v>
      </c>
      <c r="E849" s="2">
        <v>11818376000</v>
      </c>
      <c r="F849" s="2">
        <v>9976057000</v>
      </c>
      <c r="G849" s="2">
        <v>1173340000</v>
      </c>
      <c r="H849" t="s">
        <v>12</v>
      </c>
      <c r="I849" t="s">
        <v>12</v>
      </c>
      <c r="J849" t="s">
        <v>13</v>
      </c>
      <c r="K849" t="s">
        <v>164</v>
      </c>
      <c r="L849">
        <f t="shared" si="13"/>
        <v>0.1558859694428405</v>
      </c>
    </row>
    <row r="850" spans="1:12" x14ac:dyDescent="0.2">
      <c r="A850">
        <v>876</v>
      </c>
      <c r="B850" t="s">
        <v>330</v>
      </c>
      <c r="C850" t="s">
        <v>15</v>
      </c>
      <c r="D850" s="1">
        <v>41908</v>
      </c>
      <c r="E850" s="2">
        <v>12695157000</v>
      </c>
      <c r="F850" s="2">
        <v>10621373000</v>
      </c>
      <c r="G850" s="2">
        <v>1545716000</v>
      </c>
      <c r="H850" t="s">
        <v>12</v>
      </c>
      <c r="I850" t="s">
        <v>12</v>
      </c>
      <c r="J850" t="s">
        <v>13</v>
      </c>
      <c r="K850" t="s">
        <v>164</v>
      </c>
      <c r="L850">
        <f t="shared" si="13"/>
        <v>0.16335237130190672</v>
      </c>
    </row>
    <row r="851" spans="1:12" x14ac:dyDescent="0.2">
      <c r="A851">
        <v>877</v>
      </c>
      <c r="B851" t="s">
        <v>330</v>
      </c>
      <c r="C851" t="s">
        <v>16</v>
      </c>
      <c r="D851" s="1">
        <v>42279</v>
      </c>
      <c r="E851" s="2">
        <v>12114832000</v>
      </c>
      <c r="F851" s="2">
        <v>10146494000</v>
      </c>
      <c r="G851" s="2">
        <v>1522811000</v>
      </c>
      <c r="H851" t="s">
        <v>12</v>
      </c>
      <c r="I851" t="s">
        <v>12</v>
      </c>
      <c r="J851" t="s">
        <v>13</v>
      </c>
      <c r="K851" t="s">
        <v>164</v>
      </c>
      <c r="L851">
        <f t="shared" si="13"/>
        <v>0.1624734045011933</v>
      </c>
    </row>
    <row r="852" spans="1:12" x14ac:dyDescent="0.2">
      <c r="A852">
        <v>878</v>
      </c>
      <c r="B852" t="s">
        <v>330</v>
      </c>
      <c r="C852" t="s">
        <v>17</v>
      </c>
      <c r="D852" s="1">
        <v>42643</v>
      </c>
      <c r="E852" s="2">
        <v>10964157000</v>
      </c>
      <c r="F852" s="2">
        <v>9196326000</v>
      </c>
      <c r="G852" s="2">
        <v>1429233000</v>
      </c>
      <c r="H852" t="s">
        <v>12</v>
      </c>
      <c r="I852" t="s">
        <v>12</v>
      </c>
      <c r="J852" t="s">
        <v>13</v>
      </c>
      <c r="K852" t="s">
        <v>164</v>
      </c>
      <c r="L852">
        <f t="shared" si="13"/>
        <v>0.16123729348275473</v>
      </c>
    </row>
    <row r="853" spans="1:12" x14ac:dyDescent="0.2">
      <c r="A853">
        <v>879</v>
      </c>
      <c r="B853" t="s">
        <v>331</v>
      </c>
      <c r="C853" t="s">
        <v>11</v>
      </c>
      <c r="D853" s="1">
        <v>41274</v>
      </c>
      <c r="E853" s="2">
        <v>4365400000</v>
      </c>
      <c r="F853" s="2">
        <v>1656600000</v>
      </c>
      <c r="G853" s="2">
        <v>1252300000</v>
      </c>
      <c r="H853" s="2">
        <v>1101600000</v>
      </c>
      <c r="I853" t="s">
        <v>12</v>
      </c>
      <c r="J853" t="s">
        <v>22</v>
      </c>
      <c r="K853" t="s">
        <v>174</v>
      </c>
      <c r="L853">
        <f t="shared" si="13"/>
        <v>0.62051587483392123</v>
      </c>
    </row>
    <row r="854" spans="1:12" x14ac:dyDescent="0.2">
      <c r="A854">
        <v>880</v>
      </c>
      <c r="B854" t="s">
        <v>331</v>
      </c>
      <c r="C854" t="s">
        <v>15</v>
      </c>
      <c r="D854" s="1">
        <v>41639</v>
      </c>
      <c r="E854" s="2">
        <v>4669100000</v>
      </c>
      <c r="F854" s="2">
        <v>1727700000</v>
      </c>
      <c r="G854" s="2">
        <v>1293200000</v>
      </c>
      <c r="H854" s="2">
        <v>1043200000</v>
      </c>
      <c r="I854" t="s">
        <v>12</v>
      </c>
      <c r="J854" t="s">
        <v>22</v>
      </c>
      <c r="K854" t="s">
        <v>174</v>
      </c>
      <c r="L854">
        <f t="shared" si="13"/>
        <v>0.62997151485296954</v>
      </c>
    </row>
    <row r="855" spans="1:12" x14ac:dyDescent="0.2">
      <c r="A855">
        <v>881</v>
      </c>
      <c r="B855" t="s">
        <v>331</v>
      </c>
      <c r="C855" t="s">
        <v>16</v>
      </c>
      <c r="D855" s="1">
        <v>42004</v>
      </c>
      <c r="E855" s="2">
        <v>4627100000</v>
      </c>
      <c r="F855" s="2">
        <v>1768900000</v>
      </c>
      <c r="G855" s="2">
        <v>1254700000</v>
      </c>
      <c r="H855" s="2">
        <v>1006200000</v>
      </c>
      <c r="I855" t="s">
        <v>12</v>
      </c>
      <c r="J855" t="s">
        <v>22</v>
      </c>
      <c r="K855" t="s">
        <v>174</v>
      </c>
      <c r="L855">
        <f t="shared" si="13"/>
        <v>0.61770871604244559</v>
      </c>
    </row>
    <row r="856" spans="1:12" x14ac:dyDescent="0.2">
      <c r="A856">
        <v>882</v>
      </c>
      <c r="B856" t="s">
        <v>331</v>
      </c>
      <c r="C856" t="s">
        <v>17</v>
      </c>
      <c r="D856" s="1">
        <v>42369</v>
      </c>
      <c r="E856" s="2">
        <v>4857800000</v>
      </c>
      <c r="F856" s="2">
        <v>1779200000</v>
      </c>
      <c r="G856" s="2">
        <v>1172700000</v>
      </c>
      <c r="H856" s="2">
        <v>994500000</v>
      </c>
      <c r="I856" t="s">
        <v>12</v>
      </c>
      <c r="J856" t="s">
        <v>22</v>
      </c>
      <c r="K856" t="s">
        <v>174</v>
      </c>
      <c r="L856">
        <f t="shared" si="13"/>
        <v>0.6337436699740624</v>
      </c>
    </row>
    <row r="857" spans="1:12" x14ac:dyDescent="0.2">
      <c r="A857">
        <v>883</v>
      </c>
      <c r="B857" t="s">
        <v>332</v>
      </c>
      <c r="C857" t="s">
        <v>11</v>
      </c>
      <c r="D857" s="1">
        <v>41274</v>
      </c>
      <c r="E857" s="2">
        <v>93646000000</v>
      </c>
      <c r="F857" t="s">
        <v>12</v>
      </c>
      <c r="G857" s="2">
        <v>64729000000</v>
      </c>
      <c r="H857" t="s">
        <v>12</v>
      </c>
      <c r="I857" s="2">
        <v>3385000000</v>
      </c>
      <c r="J857" t="s">
        <v>47</v>
      </c>
      <c r="K857" t="s">
        <v>105</v>
      </c>
      <c r="L857" t="e">
        <f t="shared" si="13"/>
        <v>#VALUE!</v>
      </c>
    </row>
    <row r="858" spans="1:12" x14ac:dyDescent="0.2">
      <c r="A858">
        <v>884</v>
      </c>
      <c r="B858" t="s">
        <v>332</v>
      </c>
      <c r="C858" t="s">
        <v>15</v>
      </c>
      <c r="D858" s="1">
        <v>41639</v>
      </c>
      <c r="E858" s="2">
        <v>97142000000</v>
      </c>
      <c r="F858" t="s">
        <v>12</v>
      </c>
      <c r="G858" s="2">
        <v>70467000000</v>
      </c>
      <c r="H858" t="s">
        <v>12</v>
      </c>
      <c r="I858" s="2">
        <v>225000000</v>
      </c>
      <c r="J858" t="s">
        <v>47</v>
      </c>
      <c r="K858" t="s">
        <v>105</v>
      </c>
      <c r="L858" t="e">
        <f t="shared" si="13"/>
        <v>#VALUE!</v>
      </c>
    </row>
    <row r="859" spans="1:12" x14ac:dyDescent="0.2">
      <c r="A859">
        <v>885</v>
      </c>
      <c r="B859" t="s">
        <v>332</v>
      </c>
      <c r="C859" t="s">
        <v>16</v>
      </c>
      <c r="D859" s="1">
        <v>42004</v>
      </c>
      <c r="E859" s="2">
        <v>91973000000</v>
      </c>
      <c r="F859" t="s">
        <v>12</v>
      </c>
      <c r="G859" s="2">
        <v>61274000000</v>
      </c>
      <c r="H859" t="s">
        <v>12</v>
      </c>
      <c r="I859" s="2">
        <v>3139000000</v>
      </c>
      <c r="J859" t="s">
        <v>47</v>
      </c>
      <c r="K859" t="s">
        <v>105</v>
      </c>
      <c r="L859" t="e">
        <f t="shared" si="13"/>
        <v>#VALUE!</v>
      </c>
    </row>
    <row r="860" spans="1:12" x14ac:dyDescent="0.2">
      <c r="A860">
        <v>886</v>
      </c>
      <c r="B860" t="s">
        <v>332</v>
      </c>
      <c r="C860" t="s">
        <v>17</v>
      </c>
      <c r="D860" s="1">
        <v>42369</v>
      </c>
      <c r="E860" s="2">
        <v>89716000000</v>
      </c>
      <c r="F860" t="s">
        <v>12</v>
      </c>
      <c r="G860" s="2">
        <v>59014000000</v>
      </c>
      <c r="H860" t="s">
        <v>12</v>
      </c>
      <c r="I860" s="2">
        <v>3827000000</v>
      </c>
      <c r="J860" t="s">
        <v>47</v>
      </c>
      <c r="K860" t="s">
        <v>105</v>
      </c>
      <c r="L860" t="e">
        <f t="shared" si="13"/>
        <v>#VALUE!</v>
      </c>
    </row>
    <row r="861" spans="1:12" x14ac:dyDescent="0.2">
      <c r="A861">
        <v>887</v>
      </c>
      <c r="B861" t="s">
        <v>333</v>
      </c>
      <c r="C861" t="s">
        <v>11</v>
      </c>
      <c r="D861" s="1">
        <v>41307</v>
      </c>
      <c r="E861" s="2">
        <v>12134000000</v>
      </c>
      <c r="F861" s="2">
        <v>7432000000</v>
      </c>
      <c r="G861" s="2">
        <v>3357000000</v>
      </c>
      <c r="H861" t="s">
        <v>12</v>
      </c>
      <c r="I861" t="s">
        <v>12</v>
      </c>
      <c r="J861" t="s">
        <v>19</v>
      </c>
      <c r="K861" t="s">
        <v>334</v>
      </c>
      <c r="L861">
        <f t="shared" si="13"/>
        <v>0.38750618097906708</v>
      </c>
    </row>
    <row r="862" spans="1:12" x14ac:dyDescent="0.2">
      <c r="A862">
        <v>888</v>
      </c>
      <c r="B862" t="s">
        <v>333</v>
      </c>
      <c r="C862" t="s">
        <v>15</v>
      </c>
      <c r="D862" s="1">
        <v>41671</v>
      </c>
      <c r="E862" s="2">
        <v>12540000000</v>
      </c>
      <c r="F862" s="2">
        <v>7737000000</v>
      </c>
      <c r="G862" s="2">
        <v>3453000000</v>
      </c>
      <c r="H862" t="s">
        <v>12</v>
      </c>
      <c r="I862" t="s">
        <v>12</v>
      </c>
      <c r="J862" t="s">
        <v>19</v>
      </c>
      <c r="K862" t="s">
        <v>334</v>
      </c>
      <c r="L862">
        <f t="shared" si="13"/>
        <v>0.3830143540669857</v>
      </c>
    </row>
    <row r="863" spans="1:12" x14ac:dyDescent="0.2">
      <c r="A863">
        <v>889</v>
      </c>
      <c r="B863" t="s">
        <v>333</v>
      </c>
      <c r="C863" t="s">
        <v>16</v>
      </c>
      <c r="D863" s="1">
        <v>42035</v>
      </c>
      <c r="E863" s="2">
        <v>13506000000</v>
      </c>
      <c r="F863" s="2">
        <v>8406000000</v>
      </c>
      <c r="G863" s="2">
        <v>3777000000</v>
      </c>
      <c r="H863" t="s">
        <v>12</v>
      </c>
      <c r="I863" t="s">
        <v>12</v>
      </c>
      <c r="J863" t="s">
        <v>19</v>
      </c>
      <c r="K863" t="s">
        <v>334</v>
      </c>
      <c r="L863">
        <f t="shared" si="13"/>
        <v>0.3776099511328298</v>
      </c>
    </row>
    <row r="864" spans="1:12" x14ac:dyDescent="0.2">
      <c r="A864">
        <v>890</v>
      </c>
      <c r="B864" t="s">
        <v>333</v>
      </c>
      <c r="C864" t="s">
        <v>17</v>
      </c>
      <c r="D864" s="1">
        <v>42399</v>
      </c>
      <c r="E864" s="2">
        <v>14437000000</v>
      </c>
      <c r="F864" s="2">
        <v>9168000000</v>
      </c>
      <c r="G864" s="2">
        <v>4168000000</v>
      </c>
      <c r="H864" t="s">
        <v>12</v>
      </c>
      <c r="I864" t="s">
        <v>12</v>
      </c>
      <c r="J864" t="s">
        <v>19</v>
      </c>
      <c r="K864" t="s">
        <v>334</v>
      </c>
      <c r="L864">
        <f t="shared" si="13"/>
        <v>0.36496502043360812</v>
      </c>
    </row>
    <row r="865" spans="1:12" x14ac:dyDescent="0.2">
      <c r="A865">
        <v>891</v>
      </c>
      <c r="B865" t="s">
        <v>335</v>
      </c>
      <c r="C865" t="s">
        <v>11</v>
      </c>
      <c r="D865" s="1">
        <v>41272</v>
      </c>
      <c r="E865" s="2">
        <v>14197000000</v>
      </c>
      <c r="F865" s="2">
        <v>8763000000</v>
      </c>
      <c r="G865" s="2">
        <v>3872000000</v>
      </c>
      <c r="H865" t="s">
        <v>12</v>
      </c>
      <c r="I865" t="s">
        <v>12</v>
      </c>
      <c r="J865" t="s">
        <v>36</v>
      </c>
      <c r="K865" t="s">
        <v>124</v>
      </c>
      <c r="L865">
        <f t="shared" si="13"/>
        <v>0.38275692047615695</v>
      </c>
    </row>
    <row r="866" spans="1:12" x14ac:dyDescent="0.2">
      <c r="A866">
        <v>892</v>
      </c>
      <c r="B866" t="s">
        <v>335</v>
      </c>
      <c r="C866" t="s">
        <v>15</v>
      </c>
      <c r="D866" s="1">
        <v>41636</v>
      </c>
      <c r="E866" s="2">
        <v>14792000000</v>
      </c>
      <c r="F866" s="2">
        <v>8689000000</v>
      </c>
      <c r="G866" s="2">
        <v>3266000000</v>
      </c>
      <c r="H866" t="s">
        <v>12</v>
      </c>
      <c r="I866" t="s">
        <v>12</v>
      </c>
      <c r="J866" t="s">
        <v>36</v>
      </c>
      <c r="K866" t="s">
        <v>124</v>
      </c>
      <c r="L866">
        <f t="shared" si="13"/>
        <v>0.41258788534342883</v>
      </c>
    </row>
    <row r="867" spans="1:12" x14ac:dyDescent="0.2">
      <c r="A867">
        <v>893</v>
      </c>
      <c r="B867" t="s">
        <v>335</v>
      </c>
      <c r="C867" t="s">
        <v>16</v>
      </c>
      <c r="D867" s="1">
        <v>42007</v>
      </c>
      <c r="E867" s="2">
        <v>14580000000</v>
      </c>
      <c r="F867" s="2">
        <v>9517000000</v>
      </c>
      <c r="G867" s="2">
        <v>4039000000</v>
      </c>
      <c r="H867" t="s">
        <v>12</v>
      </c>
      <c r="I867" t="s">
        <v>12</v>
      </c>
      <c r="J867" t="s">
        <v>36</v>
      </c>
      <c r="K867" t="s">
        <v>124</v>
      </c>
      <c r="L867">
        <f t="shared" si="13"/>
        <v>0.34725651577503425</v>
      </c>
    </row>
    <row r="868" spans="1:12" x14ac:dyDescent="0.2">
      <c r="A868">
        <v>894</v>
      </c>
      <c r="B868" t="s">
        <v>335</v>
      </c>
      <c r="C868" t="s">
        <v>17</v>
      </c>
      <c r="D868" s="1">
        <v>42371</v>
      </c>
      <c r="E868" s="2">
        <v>13525000000</v>
      </c>
      <c r="F868" s="2">
        <v>8844000000</v>
      </c>
      <c r="G868" s="2">
        <v>3590000000</v>
      </c>
      <c r="H868" t="s">
        <v>12</v>
      </c>
      <c r="I868" t="s">
        <v>12</v>
      </c>
      <c r="J868" t="s">
        <v>36</v>
      </c>
      <c r="K868" t="s">
        <v>124</v>
      </c>
      <c r="L868">
        <f t="shared" si="13"/>
        <v>0.34609981515711641</v>
      </c>
    </row>
    <row r="869" spans="1:12" x14ac:dyDescent="0.2">
      <c r="A869">
        <v>895</v>
      </c>
      <c r="B869" t="s">
        <v>336</v>
      </c>
      <c r="C869" t="s">
        <v>11</v>
      </c>
      <c r="D869" s="1">
        <v>41547</v>
      </c>
      <c r="E869" s="2">
        <v>1287577000</v>
      </c>
      <c r="F869" s="2">
        <v>1073447000</v>
      </c>
      <c r="G869" s="2">
        <v>174085000</v>
      </c>
      <c r="H869" t="s">
        <v>12</v>
      </c>
      <c r="I869" s="2">
        <v>12784000</v>
      </c>
      <c r="J869" t="s">
        <v>47</v>
      </c>
      <c r="K869" t="s">
        <v>105</v>
      </c>
      <c r="L869">
        <f t="shared" si="13"/>
        <v>0.16630461712192746</v>
      </c>
    </row>
    <row r="870" spans="1:12" x14ac:dyDescent="0.2">
      <c r="A870">
        <v>896</v>
      </c>
      <c r="B870" t="s">
        <v>336</v>
      </c>
      <c r="C870" t="s">
        <v>15</v>
      </c>
      <c r="D870" s="1">
        <v>41912</v>
      </c>
      <c r="E870" s="2">
        <v>1463767000</v>
      </c>
      <c r="F870" s="2">
        <v>1200308000</v>
      </c>
      <c r="G870" s="2">
        <v>194491000</v>
      </c>
      <c r="H870" t="s">
        <v>12</v>
      </c>
      <c r="I870" s="2">
        <v>13279000</v>
      </c>
      <c r="J870" t="s">
        <v>47</v>
      </c>
      <c r="K870" t="s">
        <v>105</v>
      </c>
      <c r="L870">
        <f t="shared" si="13"/>
        <v>0.17998697880195413</v>
      </c>
    </row>
    <row r="871" spans="1:12" x14ac:dyDescent="0.2">
      <c r="A871">
        <v>897</v>
      </c>
      <c r="B871" t="s">
        <v>336</v>
      </c>
      <c r="C871" t="s">
        <v>16</v>
      </c>
      <c r="D871" s="1">
        <v>42277</v>
      </c>
      <c r="E871" s="2">
        <v>1627413000</v>
      </c>
      <c r="F871" s="2">
        <v>1354969000</v>
      </c>
      <c r="G871" s="2">
        <v>207519000</v>
      </c>
      <c r="H871" t="s">
        <v>12</v>
      </c>
      <c r="I871" s="2">
        <v>13338000</v>
      </c>
      <c r="J871" t="s">
        <v>47</v>
      </c>
      <c r="K871" t="s">
        <v>105</v>
      </c>
      <c r="L871">
        <f t="shared" si="13"/>
        <v>0.16740925628589665</v>
      </c>
    </row>
    <row r="872" spans="1:12" x14ac:dyDescent="0.2">
      <c r="A872">
        <v>898</v>
      </c>
      <c r="B872" t="s">
        <v>336</v>
      </c>
      <c r="C872" t="s">
        <v>17</v>
      </c>
      <c r="D872" s="1">
        <v>42643</v>
      </c>
      <c r="E872" s="2">
        <v>1822114000</v>
      </c>
      <c r="F872" s="2">
        <v>1524907000</v>
      </c>
      <c r="G872" s="2">
        <v>224088000</v>
      </c>
      <c r="H872" t="s">
        <v>12</v>
      </c>
      <c r="I872" s="2">
        <v>13794000</v>
      </c>
      <c r="J872" t="s">
        <v>47</v>
      </c>
      <c r="K872" t="s">
        <v>105</v>
      </c>
      <c r="L872">
        <f t="shared" si="13"/>
        <v>0.16311108964642174</v>
      </c>
    </row>
    <row r="873" spans="1:12" x14ac:dyDescent="0.2">
      <c r="A873">
        <v>899</v>
      </c>
      <c r="B873" t="s">
        <v>337</v>
      </c>
      <c r="C873" t="s">
        <v>11</v>
      </c>
      <c r="D873" s="1">
        <v>41274</v>
      </c>
      <c r="E873" s="2">
        <v>793373000</v>
      </c>
      <c r="F873" s="2">
        <v>206974000</v>
      </c>
      <c r="G873" s="2">
        <v>123524000</v>
      </c>
      <c r="H873" t="s">
        <v>12</v>
      </c>
      <c r="I873" s="2">
        <v>214827000</v>
      </c>
      <c r="J873" t="s">
        <v>52</v>
      </c>
      <c r="K873" t="s">
        <v>53</v>
      </c>
      <c r="L873">
        <f t="shared" si="13"/>
        <v>0.7391214472889801</v>
      </c>
    </row>
    <row r="874" spans="1:12" x14ac:dyDescent="0.2">
      <c r="A874">
        <v>900</v>
      </c>
      <c r="B874" t="s">
        <v>337</v>
      </c>
      <c r="C874" t="s">
        <v>15</v>
      </c>
      <c r="D874" s="1">
        <v>41639</v>
      </c>
      <c r="E874" s="2">
        <v>861527000</v>
      </c>
      <c r="F874" s="2">
        <v>221498000</v>
      </c>
      <c r="G874" s="2">
        <v>127470000</v>
      </c>
      <c r="H874" t="s">
        <v>12</v>
      </c>
      <c r="I874" s="2">
        <v>224713000</v>
      </c>
      <c r="J874" t="s">
        <v>52</v>
      </c>
      <c r="K874" t="s">
        <v>53</v>
      </c>
      <c r="L874">
        <f t="shared" si="13"/>
        <v>0.74290068680377974</v>
      </c>
    </row>
    <row r="875" spans="1:12" x14ac:dyDescent="0.2">
      <c r="A875">
        <v>901</v>
      </c>
      <c r="B875" t="s">
        <v>337</v>
      </c>
      <c r="C875" t="s">
        <v>16</v>
      </c>
      <c r="D875" s="1">
        <v>42004</v>
      </c>
      <c r="E875" s="2">
        <v>993897000</v>
      </c>
      <c r="F875" s="2">
        <v>258617000</v>
      </c>
      <c r="G875" s="2">
        <v>122201000</v>
      </c>
      <c r="H875" t="s">
        <v>12</v>
      </c>
      <c r="I875" s="2">
        <v>258074000</v>
      </c>
      <c r="J875" t="s">
        <v>52</v>
      </c>
      <c r="K875" t="s">
        <v>53</v>
      </c>
      <c r="L875">
        <f t="shared" si="13"/>
        <v>0.73979496869393913</v>
      </c>
    </row>
    <row r="876" spans="1:12" x14ac:dyDescent="0.2">
      <c r="A876">
        <v>902</v>
      </c>
      <c r="B876" t="s">
        <v>337</v>
      </c>
      <c r="C876" t="s">
        <v>17</v>
      </c>
      <c r="D876" s="1">
        <v>42369</v>
      </c>
      <c r="E876" s="2">
        <v>1166769000</v>
      </c>
      <c r="F876" s="2">
        <v>304477000</v>
      </c>
      <c r="G876" s="2">
        <v>122735000</v>
      </c>
      <c r="H876" t="s">
        <v>12</v>
      </c>
      <c r="I876" s="2">
        <v>344527000</v>
      </c>
      <c r="J876" t="s">
        <v>52</v>
      </c>
      <c r="K876" t="s">
        <v>53</v>
      </c>
      <c r="L876">
        <f t="shared" si="13"/>
        <v>0.73904260397730825</v>
      </c>
    </row>
    <row r="877" spans="1:12" x14ac:dyDescent="0.2">
      <c r="A877">
        <v>903</v>
      </c>
      <c r="B877" t="s">
        <v>338</v>
      </c>
      <c r="C877" t="s">
        <v>11</v>
      </c>
      <c r="D877" s="1">
        <v>41455</v>
      </c>
      <c r="E877" s="2">
        <v>2842781000</v>
      </c>
      <c r="F877" s="2">
        <v>1237452000</v>
      </c>
      <c r="G877" s="2">
        <v>387812000</v>
      </c>
      <c r="H877" s="2">
        <v>487832000</v>
      </c>
      <c r="I877" t="s">
        <v>12</v>
      </c>
      <c r="J877" t="s">
        <v>22</v>
      </c>
      <c r="K877" t="s">
        <v>68</v>
      </c>
      <c r="L877">
        <f t="shared" si="13"/>
        <v>0.56470371794380214</v>
      </c>
    </row>
    <row r="878" spans="1:12" x14ac:dyDescent="0.2">
      <c r="A878">
        <v>904</v>
      </c>
      <c r="B878" t="s">
        <v>338</v>
      </c>
      <c r="C878" t="s">
        <v>15</v>
      </c>
      <c r="D878" s="1">
        <v>41820</v>
      </c>
      <c r="E878" s="2">
        <v>2929408000</v>
      </c>
      <c r="F878" s="2">
        <v>1232962000</v>
      </c>
      <c r="G878" s="2">
        <v>384907000</v>
      </c>
      <c r="H878" s="2">
        <v>539469000</v>
      </c>
      <c r="I878" t="s">
        <v>12</v>
      </c>
      <c r="J878" t="s">
        <v>22</v>
      </c>
      <c r="K878" t="s">
        <v>68</v>
      </c>
      <c r="L878">
        <f t="shared" si="13"/>
        <v>0.5791088165253867</v>
      </c>
    </row>
    <row r="879" spans="1:12" x14ac:dyDescent="0.2">
      <c r="A879">
        <v>905</v>
      </c>
      <c r="B879" t="s">
        <v>338</v>
      </c>
      <c r="C879" t="s">
        <v>16</v>
      </c>
      <c r="D879" s="1">
        <v>42185</v>
      </c>
      <c r="E879" s="2">
        <v>2814049000</v>
      </c>
      <c r="F879" s="2">
        <v>1215229000</v>
      </c>
      <c r="G879" s="2">
        <v>406864000</v>
      </c>
      <c r="H879" s="2">
        <v>530616000</v>
      </c>
      <c r="I879" t="s">
        <v>12</v>
      </c>
      <c r="J879" t="s">
        <v>22</v>
      </c>
      <c r="K879" t="s">
        <v>68</v>
      </c>
      <c r="L879">
        <f t="shared" si="13"/>
        <v>0.56815641802967898</v>
      </c>
    </row>
    <row r="880" spans="1:12" x14ac:dyDescent="0.2">
      <c r="A880">
        <v>906</v>
      </c>
      <c r="B880" t="s">
        <v>338</v>
      </c>
      <c r="C880" t="s">
        <v>17</v>
      </c>
      <c r="D880" s="1">
        <v>42551</v>
      </c>
      <c r="E880" s="2">
        <v>2984493000</v>
      </c>
      <c r="F880" s="2">
        <v>1163391000</v>
      </c>
      <c r="G880" s="2">
        <v>379399000</v>
      </c>
      <c r="H880" s="2">
        <v>481258000</v>
      </c>
      <c r="I880" t="s">
        <v>12</v>
      </c>
      <c r="J880" t="s">
        <v>22</v>
      </c>
      <c r="K880" t="s">
        <v>68</v>
      </c>
      <c r="L880">
        <f t="shared" si="13"/>
        <v>0.61018806209295851</v>
      </c>
    </row>
    <row r="881" spans="1:12" x14ac:dyDescent="0.2">
      <c r="A881">
        <v>907</v>
      </c>
      <c r="B881" t="s">
        <v>339</v>
      </c>
      <c r="C881" t="s">
        <v>11</v>
      </c>
      <c r="D881" s="1">
        <v>41639</v>
      </c>
      <c r="E881" s="2">
        <v>19561000000</v>
      </c>
      <c r="F881" s="2">
        <v>12952000000</v>
      </c>
      <c r="G881" s="2">
        <v>3706000000</v>
      </c>
      <c r="H881" t="s">
        <v>12</v>
      </c>
      <c r="I881" t="s">
        <v>12</v>
      </c>
      <c r="J881" t="s">
        <v>36</v>
      </c>
      <c r="K881" t="s">
        <v>142</v>
      </c>
      <c r="L881">
        <f t="shared" si="13"/>
        <v>0.33786616226164301</v>
      </c>
    </row>
    <row r="882" spans="1:12" x14ac:dyDescent="0.2">
      <c r="A882">
        <v>908</v>
      </c>
      <c r="B882" t="s">
        <v>339</v>
      </c>
      <c r="C882" t="s">
        <v>15</v>
      </c>
      <c r="D882" s="1">
        <v>42004</v>
      </c>
      <c r="E882" s="2">
        <v>19724000000</v>
      </c>
      <c r="F882" s="2">
        <v>13041000000</v>
      </c>
      <c r="G882" s="2">
        <v>4162000000</v>
      </c>
      <c r="H882" t="s">
        <v>12</v>
      </c>
      <c r="I882" t="s">
        <v>12</v>
      </c>
      <c r="J882" t="s">
        <v>36</v>
      </c>
      <c r="K882" t="s">
        <v>142</v>
      </c>
      <c r="L882">
        <f t="shared" si="13"/>
        <v>0.33882579598458729</v>
      </c>
    </row>
    <row r="883" spans="1:12" x14ac:dyDescent="0.2">
      <c r="A883">
        <v>909</v>
      </c>
      <c r="B883" t="s">
        <v>339</v>
      </c>
      <c r="C883" t="s">
        <v>16</v>
      </c>
      <c r="D883" s="1">
        <v>42369</v>
      </c>
      <c r="E883" s="2">
        <v>18591000000</v>
      </c>
      <c r="F883" s="2">
        <v>11967000000</v>
      </c>
      <c r="G883" s="2">
        <v>5011000000</v>
      </c>
      <c r="H883" t="s">
        <v>12</v>
      </c>
      <c r="I883" t="s">
        <v>12</v>
      </c>
      <c r="J883" t="s">
        <v>36</v>
      </c>
      <c r="K883" t="s">
        <v>142</v>
      </c>
      <c r="L883">
        <f t="shared" si="13"/>
        <v>0.35630143617879617</v>
      </c>
    </row>
    <row r="884" spans="1:12" x14ac:dyDescent="0.2">
      <c r="A884">
        <v>910</v>
      </c>
      <c r="B884" t="s">
        <v>339</v>
      </c>
      <c r="C884" t="s">
        <v>17</v>
      </c>
      <c r="D884" s="1">
        <v>42735</v>
      </c>
      <c r="E884" s="2">
        <v>18202000000</v>
      </c>
      <c r="F884" s="2">
        <v>11551000000</v>
      </c>
      <c r="G884" s="2">
        <v>3334000000</v>
      </c>
      <c r="H884" t="s">
        <v>12</v>
      </c>
      <c r="I884" t="s">
        <v>12</v>
      </c>
      <c r="J884" t="s">
        <v>36</v>
      </c>
      <c r="K884" t="s">
        <v>142</v>
      </c>
      <c r="L884">
        <f t="shared" si="13"/>
        <v>0.36539940665860893</v>
      </c>
    </row>
    <row r="885" spans="1:12" x14ac:dyDescent="0.2">
      <c r="A885">
        <v>911</v>
      </c>
      <c r="B885" t="s">
        <v>340</v>
      </c>
      <c r="C885" t="s">
        <v>11</v>
      </c>
      <c r="D885" s="1">
        <v>41639</v>
      </c>
      <c r="E885" s="2">
        <v>14070000000</v>
      </c>
      <c r="F885" s="2">
        <v>7365000000</v>
      </c>
      <c r="G885" s="2">
        <v>1007000000</v>
      </c>
      <c r="H885" t="s">
        <v>12</v>
      </c>
      <c r="I885" s="2">
        <v>1806000000</v>
      </c>
      <c r="J885" t="s">
        <v>83</v>
      </c>
      <c r="K885" t="s">
        <v>341</v>
      </c>
      <c r="L885">
        <f t="shared" si="13"/>
        <v>0.47654584221748397</v>
      </c>
    </row>
    <row r="886" spans="1:12" x14ac:dyDescent="0.2">
      <c r="A886">
        <v>912</v>
      </c>
      <c r="B886" t="s">
        <v>340</v>
      </c>
      <c r="C886" t="s">
        <v>15</v>
      </c>
      <c r="D886" s="1">
        <v>42004</v>
      </c>
      <c r="E886" s="2">
        <v>16226000000</v>
      </c>
      <c r="F886" s="2">
        <v>8435000000</v>
      </c>
      <c r="G886" s="2">
        <v>1029000000</v>
      </c>
      <c r="H886" t="s">
        <v>12</v>
      </c>
      <c r="I886" s="2">
        <v>2040000000</v>
      </c>
      <c r="J886" t="s">
        <v>83</v>
      </c>
      <c r="K886" t="s">
        <v>341</v>
      </c>
      <c r="L886">
        <f t="shared" si="13"/>
        <v>0.4801553062985332</v>
      </c>
    </row>
    <row r="887" spans="1:12" x14ac:dyDescent="0.2">
      <c r="A887">
        <v>913</v>
      </c>
      <c r="B887" t="s">
        <v>340</v>
      </c>
      <c r="C887" t="s">
        <v>16</v>
      </c>
      <c r="D887" s="1">
        <v>42369</v>
      </c>
      <c r="E887" s="2">
        <v>14403000000</v>
      </c>
      <c r="F887" s="2">
        <v>6452000000</v>
      </c>
      <c r="G887" s="2">
        <v>1126000000</v>
      </c>
      <c r="H887" t="s">
        <v>12</v>
      </c>
      <c r="I887" s="2">
        <v>2309000000</v>
      </c>
      <c r="J887" t="s">
        <v>83</v>
      </c>
      <c r="K887" t="s">
        <v>341</v>
      </c>
      <c r="L887">
        <f t="shared" si="13"/>
        <v>0.55203776990904674</v>
      </c>
    </row>
    <row r="888" spans="1:12" x14ac:dyDescent="0.2">
      <c r="A888">
        <v>914</v>
      </c>
      <c r="B888" t="s">
        <v>340</v>
      </c>
      <c r="C888" t="s">
        <v>17</v>
      </c>
      <c r="D888" s="1">
        <v>42735</v>
      </c>
      <c r="E888" s="2">
        <v>13058000000</v>
      </c>
      <c r="F888" s="2">
        <v>5801000000</v>
      </c>
      <c r="G888" s="2">
        <v>1089000000</v>
      </c>
      <c r="H888" t="s">
        <v>12</v>
      </c>
      <c r="I888" s="2">
        <v>2209000000</v>
      </c>
      <c r="J888" t="s">
        <v>83</v>
      </c>
      <c r="K888" t="s">
        <v>341</v>
      </c>
      <c r="L888">
        <f t="shared" si="13"/>
        <v>0.5557512635931996</v>
      </c>
    </row>
    <row r="889" spans="1:12" x14ac:dyDescent="0.2">
      <c r="A889">
        <v>915</v>
      </c>
      <c r="B889" t="s">
        <v>342</v>
      </c>
      <c r="C889" t="s">
        <v>11</v>
      </c>
      <c r="D889" s="1">
        <v>41333</v>
      </c>
      <c r="E889" s="2">
        <v>10962818000</v>
      </c>
      <c r="F889" s="2">
        <v>9498456000</v>
      </c>
      <c r="G889" s="2">
        <v>731767000</v>
      </c>
      <c r="H889" t="s">
        <v>12</v>
      </c>
      <c r="I889" t="s">
        <v>12</v>
      </c>
      <c r="J889" t="s">
        <v>19</v>
      </c>
      <c r="K889" t="s">
        <v>79</v>
      </c>
      <c r="L889">
        <f t="shared" si="13"/>
        <v>0.13357532707375053</v>
      </c>
    </row>
    <row r="890" spans="1:12" x14ac:dyDescent="0.2">
      <c r="A890">
        <v>916</v>
      </c>
      <c r="B890" t="s">
        <v>342</v>
      </c>
      <c r="C890" t="s">
        <v>15</v>
      </c>
      <c r="D890" s="1">
        <v>41698</v>
      </c>
      <c r="E890" s="2">
        <v>12574299000</v>
      </c>
      <c r="F890" s="2">
        <v>10925598000</v>
      </c>
      <c r="G890" s="2">
        <v>819048000</v>
      </c>
      <c r="H890" t="s">
        <v>12</v>
      </c>
      <c r="I890" t="s">
        <v>12</v>
      </c>
      <c r="J890" t="s">
        <v>19</v>
      </c>
      <c r="K890" t="s">
        <v>79</v>
      </c>
      <c r="L890">
        <f t="shared" si="13"/>
        <v>0.13111673263058243</v>
      </c>
    </row>
    <row r="891" spans="1:12" x14ac:dyDescent="0.2">
      <c r="A891">
        <v>917</v>
      </c>
      <c r="B891" t="s">
        <v>342</v>
      </c>
      <c r="C891" t="s">
        <v>16</v>
      </c>
      <c r="D891" s="1">
        <v>42063</v>
      </c>
      <c r="E891" s="2">
        <v>14268716000</v>
      </c>
      <c r="F891" s="2">
        <v>12381189000</v>
      </c>
      <c r="G891" s="2">
        <v>890431000</v>
      </c>
      <c r="H891" t="s">
        <v>12</v>
      </c>
      <c r="I891" t="s">
        <v>12</v>
      </c>
      <c r="J891" t="s">
        <v>19</v>
      </c>
      <c r="K891" t="s">
        <v>79</v>
      </c>
      <c r="L891">
        <f t="shared" si="13"/>
        <v>0.13228429243388118</v>
      </c>
    </row>
    <row r="892" spans="1:12" x14ac:dyDescent="0.2">
      <c r="A892">
        <v>918</v>
      </c>
      <c r="B892" t="s">
        <v>342</v>
      </c>
      <c r="C892" t="s">
        <v>17</v>
      </c>
      <c r="D892" s="1">
        <v>42429</v>
      </c>
      <c r="E892" s="2">
        <v>15149675000</v>
      </c>
      <c r="F892" s="2">
        <v>13130915000</v>
      </c>
      <c r="G892" s="2">
        <v>959899000</v>
      </c>
      <c r="H892" t="s">
        <v>12</v>
      </c>
      <c r="I892" t="s">
        <v>12</v>
      </c>
      <c r="J892" t="s">
        <v>19</v>
      </c>
      <c r="K892" t="s">
        <v>79</v>
      </c>
      <c r="L892">
        <f t="shared" si="13"/>
        <v>0.13325434374004719</v>
      </c>
    </row>
    <row r="893" spans="1:12" x14ac:dyDescent="0.2">
      <c r="A893">
        <v>919</v>
      </c>
      <c r="B893" t="s">
        <v>343</v>
      </c>
      <c r="C893" t="s">
        <v>11</v>
      </c>
      <c r="D893" s="1">
        <v>41274</v>
      </c>
      <c r="E893" s="2">
        <v>48017000000</v>
      </c>
      <c r="F893" s="2">
        <v>19053000000</v>
      </c>
      <c r="G893" s="2">
        <v>18185000000</v>
      </c>
      <c r="H893" t="s">
        <v>12</v>
      </c>
      <c r="I893" t="s">
        <v>12</v>
      </c>
      <c r="J893" t="s">
        <v>36</v>
      </c>
      <c r="K893" t="s">
        <v>214</v>
      </c>
      <c r="L893">
        <f t="shared" si="13"/>
        <v>0.60320303225940819</v>
      </c>
    </row>
    <row r="894" spans="1:12" x14ac:dyDescent="0.2">
      <c r="A894">
        <v>920</v>
      </c>
      <c r="B894" t="s">
        <v>343</v>
      </c>
      <c r="C894" t="s">
        <v>15</v>
      </c>
      <c r="D894" s="1">
        <v>41639</v>
      </c>
      <c r="E894" s="2">
        <v>46854000000</v>
      </c>
      <c r="F894" s="2">
        <v>18421000000</v>
      </c>
      <c r="G894" s="2">
        <v>18205000000</v>
      </c>
      <c r="H894" t="s">
        <v>12</v>
      </c>
      <c r="I894" t="s">
        <v>12</v>
      </c>
      <c r="J894" t="s">
        <v>36</v>
      </c>
      <c r="K894" t="s">
        <v>214</v>
      </c>
      <c r="L894">
        <f t="shared" si="13"/>
        <v>0.60684253212105688</v>
      </c>
    </row>
    <row r="895" spans="1:12" x14ac:dyDescent="0.2">
      <c r="A895">
        <v>921</v>
      </c>
      <c r="B895" t="s">
        <v>343</v>
      </c>
      <c r="C895" t="s">
        <v>16</v>
      </c>
      <c r="D895" s="1">
        <v>42004</v>
      </c>
      <c r="E895" s="2">
        <v>45998000000</v>
      </c>
      <c r="F895" s="2">
        <v>17889000000</v>
      </c>
      <c r="G895" s="2">
        <v>18401000000</v>
      </c>
      <c r="H895" t="s">
        <v>12</v>
      </c>
      <c r="I895" t="s">
        <v>12</v>
      </c>
      <c r="J895" t="s">
        <v>36</v>
      </c>
      <c r="K895" t="s">
        <v>214</v>
      </c>
      <c r="L895">
        <f t="shared" si="13"/>
        <v>0.61109178659941743</v>
      </c>
    </row>
    <row r="896" spans="1:12" x14ac:dyDescent="0.2">
      <c r="A896">
        <v>922</v>
      </c>
      <c r="B896" t="s">
        <v>343</v>
      </c>
      <c r="C896" t="s">
        <v>17</v>
      </c>
      <c r="D896" s="1">
        <v>42369</v>
      </c>
      <c r="E896" s="2">
        <v>44294000000</v>
      </c>
      <c r="F896" s="2">
        <v>17482000000</v>
      </c>
      <c r="G896" s="2">
        <v>18084000000</v>
      </c>
      <c r="H896" t="s">
        <v>12</v>
      </c>
      <c r="I896" t="s">
        <v>12</v>
      </c>
      <c r="J896" t="s">
        <v>36</v>
      </c>
      <c r="K896" t="s">
        <v>214</v>
      </c>
      <c r="L896">
        <f t="shared" si="13"/>
        <v>0.60531900483135415</v>
      </c>
    </row>
    <row r="897" spans="1:12" x14ac:dyDescent="0.2">
      <c r="A897">
        <v>923</v>
      </c>
      <c r="B897" t="s">
        <v>344</v>
      </c>
      <c r="C897" t="s">
        <v>11</v>
      </c>
      <c r="D897" s="1">
        <v>41363</v>
      </c>
      <c r="E897" s="2">
        <v>2181732000</v>
      </c>
      <c r="F897" s="2">
        <v>875166000</v>
      </c>
      <c r="G897" s="2">
        <v>621536000</v>
      </c>
      <c r="H897" t="s">
        <v>12</v>
      </c>
      <c r="I897" s="2">
        <v>54291000</v>
      </c>
      <c r="J897" t="s">
        <v>19</v>
      </c>
      <c r="K897" t="s">
        <v>289</v>
      </c>
      <c r="L897">
        <f t="shared" si="13"/>
        <v>0.59886640522300638</v>
      </c>
    </row>
    <row r="898" spans="1:12" x14ac:dyDescent="0.2">
      <c r="A898">
        <v>924</v>
      </c>
      <c r="B898" t="s">
        <v>344</v>
      </c>
      <c r="C898" t="s">
        <v>15</v>
      </c>
      <c r="D898" s="1">
        <v>41727</v>
      </c>
      <c r="E898" s="2">
        <v>3310800000</v>
      </c>
      <c r="F898" s="2">
        <v>1294700000</v>
      </c>
      <c r="G898" s="2">
        <v>926900000</v>
      </c>
      <c r="H898" t="s">
        <v>12</v>
      </c>
      <c r="I898" s="2">
        <v>79700000</v>
      </c>
      <c r="J898" t="s">
        <v>19</v>
      </c>
      <c r="K898" t="s">
        <v>289</v>
      </c>
      <c r="L898">
        <f t="shared" si="13"/>
        <v>0.60894647819258185</v>
      </c>
    </row>
    <row r="899" spans="1:12" x14ac:dyDescent="0.2">
      <c r="A899">
        <v>925</v>
      </c>
      <c r="B899" t="s">
        <v>344</v>
      </c>
      <c r="C899" t="s">
        <v>16</v>
      </c>
      <c r="D899" s="1">
        <v>42091</v>
      </c>
      <c r="E899" s="2">
        <v>4371500000</v>
      </c>
      <c r="F899" s="2">
        <v>1723800000</v>
      </c>
      <c r="G899" s="2">
        <v>1251500000</v>
      </c>
      <c r="H899" t="s">
        <v>12</v>
      </c>
      <c r="I899" s="2">
        <v>138400000</v>
      </c>
      <c r="J899" t="s">
        <v>19</v>
      </c>
      <c r="K899" t="s">
        <v>289</v>
      </c>
      <c r="L899">
        <f t="shared" ref="L899:L962" si="14">1-F899/E899</f>
        <v>0.60567310991650469</v>
      </c>
    </row>
    <row r="900" spans="1:12" x14ac:dyDescent="0.2">
      <c r="A900">
        <v>926</v>
      </c>
      <c r="B900" t="s">
        <v>344</v>
      </c>
      <c r="C900" t="s">
        <v>17</v>
      </c>
      <c r="D900" s="1">
        <v>42462</v>
      </c>
      <c r="E900" s="2">
        <v>4712100000</v>
      </c>
      <c r="F900" s="2">
        <v>1914900000</v>
      </c>
      <c r="G900" s="2">
        <v>1428000000</v>
      </c>
      <c r="H900" t="s">
        <v>12</v>
      </c>
      <c r="I900" s="2">
        <v>183200000</v>
      </c>
      <c r="J900" t="s">
        <v>19</v>
      </c>
      <c r="K900" t="s">
        <v>289</v>
      </c>
      <c r="L900">
        <f t="shared" si="14"/>
        <v>0.59362067867829627</v>
      </c>
    </row>
    <row r="901" spans="1:12" x14ac:dyDescent="0.2">
      <c r="A901">
        <v>927</v>
      </c>
      <c r="B901" t="s">
        <v>345</v>
      </c>
      <c r="C901" t="s">
        <v>11</v>
      </c>
      <c r="D901" s="1">
        <v>41307</v>
      </c>
      <c r="E901" s="2">
        <v>96619000000</v>
      </c>
      <c r="F901" s="2">
        <v>76726000000</v>
      </c>
      <c r="G901" s="2">
        <v>15477000000</v>
      </c>
      <c r="H901" t="s">
        <v>12</v>
      </c>
      <c r="I901" s="2">
        <v>1652000000</v>
      </c>
      <c r="J901" t="s">
        <v>36</v>
      </c>
      <c r="K901" t="s">
        <v>346</v>
      </c>
      <c r="L901">
        <f t="shared" si="14"/>
        <v>0.20589118082364755</v>
      </c>
    </row>
    <row r="902" spans="1:12" x14ac:dyDescent="0.2">
      <c r="A902">
        <v>928</v>
      </c>
      <c r="B902" t="s">
        <v>345</v>
      </c>
      <c r="C902" t="s">
        <v>15</v>
      </c>
      <c r="D902" s="1">
        <v>41671</v>
      </c>
      <c r="E902" s="2">
        <v>98375000000</v>
      </c>
      <c r="F902" s="2">
        <v>78138000000</v>
      </c>
      <c r="G902" s="2">
        <v>15809000000</v>
      </c>
      <c r="H902" t="s">
        <v>12</v>
      </c>
      <c r="I902" s="2">
        <v>1703000000</v>
      </c>
      <c r="J902" t="s">
        <v>36</v>
      </c>
      <c r="K902" t="s">
        <v>346</v>
      </c>
      <c r="L902">
        <f t="shared" si="14"/>
        <v>0.20571283354510805</v>
      </c>
    </row>
    <row r="903" spans="1:12" x14ac:dyDescent="0.2">
      <c r="A903">
        <v>929</v>
      </c>
      <c r="B903" t="s">
        <v>345</v>
      </c>
      <c r="C903" t="s">
        <v>16</v>
      </c>
      <c r="D903" s="1">
        <v>42035</v>
      </c>
      <c r="E903" s="2">
        <v>108465000000</v>
      </c>
      <c r="F903" s="2">
        <v>85512000000</v>
      </c>
      <c r="G903" s="2">
        <v>17868000000</v>
      </c>
      <c r="H903" t="s">
        <v>12</v>
      </c>
      <c r="I903" s="2">
        <v>1948000000</v>
      </c>
      <c r="J903" t="s">
        <v>36</v>
      </c>
      <c r="K903" t="s">
        <v>346</v>
      </c>
      <c r="L903">
        <f t="shared" si="14"/>
        <v>0.21161665053242984</v>
      </c>
    </row>
    <row r="904" spans="1:12" x14ac:dyDescent="0.2">
      <c r="A904">
        <v>930</v>
      </c>
      <c r="B904" t="s">
        <v>345</v>
      </c>
      <c r="C904" t="s">
        <v>17</v>
      </c>
      <c r="D904" s="1">
        <v>42399</v>
      </c>
      <c r="E904" s="2">
        <v>109830000000</v>
      </c>
      <c r="F904" s="2">
        <v>85496000000</v>
      </c>
      <c r="G904" s="2">
        <v>18669000000</v>
      </c>
      <c r="H904" t="s">
        <v>12</v>
      </c>
      <c r="I904" s="2">
        <v>2089000000</v>
      </c>
      <c r="J904" t="s">
        <v>36</v>
      </c>
      <c r="K904" t="s">
        <v>346</v>
      </c>
      <c r="L904">
        <f t="shared" si="14"/>
        <v>0.22156059364472369</v>
      </c>
    </row>
    <row r="905" spans="1:12" x14ac:dyDescent="0.2">
      <c r="A905">
        <v>931</v>
      </c>
      <c r="B905" t="s">
        <v>347</v>
      </c>
      <c r="C905" t="s">
        <v>11</v>
      </c>
      <c r="D905" s="1">
        <v>41307</v>
      </c>
      <c r="E905" s="2">
        <v>19279000000</v>
      </c>
      <c r="F905" s="2">
        <v>12289000000</v>
      </c>
      <c r="G905" s="2">
        <v>4267000000</v>
      </c>
      <c r="H905" t="s">
        <v>12</v>
      </c>
      <c r="I905" s="2">
        <v>833000000</v>
      </c>
      <c r="J905" t="s">
        <v>19</v>
      </c>
      <c r="K905" t="s">
        <v>197</v>
      </c>
      <c r="L905">
        <f t="shared" si="14"/>
        <v>0.36257067275273613</v>
      </c>
    </row>
    <row r="906" spans="1:12" x14ac:dyDescent="0.2">
      <c r="A906">
        <v>932</v>
      </c>
      <c r="B906" t="s">
        <v>347</v>
      </c>
      <c r="C906" t="s">
        <v>15</v>
      </c>
      <c r="D906" s="1">
        <v>41671</v>
      </c>
      <c r="E906" s="2">
        <v>19031000000</v>
      </c>
      <c r="F906" s="2">
        <v>12087000000</v>
      </c>
      <c r="G906" s="2">
        <v>4313000000</v>
      </c>
      <c r="H906" t="s">
        <v>12</v>
      </c>
      <c r="I906" s="2">
        <v>889000000</v>
      </c>
      <c r="J906" t="s">
        <v>19</v>
      </c>
      <c r="K906" t="s">
        <v>197</v>
      </c>
      <c r="L906">
        <f t="shared" si="14"/>
        <v>0.36487835636592925</v>
      </c>
    </row>
    <row r="907" spans="1:12" x14ac:dyDescent="0.2">
      <c r="A907">
        <v>933</v>
      </c>
      <c r="B907" t="s">
        <v>347</v>
      </c>
      <c r="C907" t="s">
        <v>16</v>
      </c>
      <c r="D907" s="1">
        <v>42035</v>
      </c>
      <c r="E907" s="2">
        <v>19023000000</v>
      </c>
      <c r="F907" s="2">
        <v>12098000000</v>
      </c>
      <c r="G907" s="2">
        <v>4350000000</v>
      </c>
      <c r="H907" t="s">
        <v>12</v>
      </c>
      <c r="I907" s="2">
        <v>886000000</v>
      </c>
      <c r="J907" t="s">
        <v>19</v>
      </c>
      <c r="K907" t="s">
        <v>197</v>
      </c>
      <c r="L907">
        <f t="shared" si="14"/>
        <v>0.36403301266887456</v>
      </c>
    </row>
    <row r="908" spans="1:12" x14ac:dyDescent="0.2">
      <c r="A908">
        <v>934</v>
      </c>
      <c r="B908" t="s">
        <v>347</v>
      </c>
      <c r="C908" t="s">
        <v>17</v>
      </c>
      <c r="D908" s="1">
        <v>42399</v>
      </c>
      <c r="E908" s="2">
        <v>19204000000</v>
      </c>
      <c r="F908" s="2">
        <v>12265000000</v>
      </c>
      <c r="G908" s="2">
        <v>4452000000</v>
      </c>
      <c r="H908" t="s">
        <v>12</v>
      </c>
      <c r="I908" s="2">
        <v>934000000</v>
      </c>
      <c r="J908" t="s">
        <v>19</v>
      </c>
      <c r="K908" t="s">
        <v>197</v>
      </c>
      <c r="L908">
        <f t="shared" si="14"/>
        <v>0.36133097271401793</v>
      </c>
    </row>
    <row r="909" spans="1:12" x14ac:dyDescent="0.2">
      <c r="A909">
        <v>935</v>
      </c>
      <c r="B909" t="s">
        <v>348</v>
      </c>
      <c r="C909" t="s">
        <v>11</v>
      </c>
      <c r="D909" s="1">
        <v>41639</v>
      </c>
      <c r="E909" s="2">
        <v>2369300000</v>
      </c>
      <c r="F909" s="2">
        <v>805300000</v>
      </c>
      <c r="G909" s="2">
        <v>602100000</v>
      </c>
      <c r="H909" t="s">
        <v>12</v>
      </c>
      <c r="I909" s="2">
        <v>223300000</v>
      </c>
      <c r="J909" t="s">
        <v>13</v>
      </c>
      <c r="K909" t="s">
        <v>178</v>
      </c>
      <c r="L909">
        <f t="shared" si="14"/>
        <v>0.66011058118431598</v>
      </c>
    </row>
    <row r="910" spans="1:12" x14ac:dyDescent="0.2">
      <c r="A910">
        <v>936</v>
      </c>
      <c r="B910" t="s">
        <v>348</v>
      </c>
      <c r="C910" t="s">
        <v>15</v>
      </c>
      <c r="D910" s="1">
        <v>42004</v>
      </c>
      <c r="E910" s="2">
        <v>2577100000</v>
      </c>
      <c r="F910" s="2">
        <v>877900000</v>
      </c>
      <c r="G910" s="2">
        <v>632000000</v>
      </c>
      <c r="H910" t="s">
        <v>12</v>
      </c>
      <c r="I910" s="2">
        <v>258100000</v>
      </c>
      <c r="J910" t="s">
        <v>13</v>
      </c>
      <c r="K910" t="s">
        <v>178</v>
      </c>
      <c r="L910">
        <f t="shared" si="14"/>
        <v>0.65934577626013735</v>
      </c>
    </row>
    <row r="911" spans="1:12" x14ac:dyDescent="0.2">
      <c r="A911">
        <v>937</v>
      </c>
      <c r="B911" t="s">
        <v>348</v>
      </c>
      <c r="C911" t="s">
        <v>16</v>
      </c>
      <c r="D911" s="1">
        <v>42369</v>
      </c>
      <c r="E911" s="2">
        <v>2418800000</v>
      </c>
      <c r="F911" s="2">
        <v>759200000</v>
      </c>
      <c r="G911" s="2">
        <v>571200000</v>
      </c>
      <c r="H911" t="s">
        <v>12</v>
      </c>
      <c r="I911" s="2">
        <v>284600000</v>
      </c>
      <c r="J911" t="s">
        <v>13</v>
      </c>
      <c r="K911" t="s">
        <v>178</v>
      </c>
      <c r="L911">
        <f t="shared" si="14"/>
        <v>0.68612535141392428</v>
      </c>
    </row>
    <row r="912" spans="1:12" x14ac:dyDescent="0.2">
      <c r="A912">
        <v>938</v>
      </c>
      <c r="B912" t="s">
        <v>348</v>
      </c>
      <c r="C912" t="s">
        <v>17</v>
      </c>
      <c r="D912" s="1">
        <v>42735</v>
      </c>
      <c r="E912" s="2">
        <v>2334200000</v>
      </c>
      <c r="F912" s="2">
        <v>691100000</v>
      </c>
      <c r="G912" s="2">
        <v>519600000</v>
      </c>
      <c r="H912" t="s">
        <v>12</v>
      </c>
      <c r="I912" s="2">
        <v>305000000</v>
      </c>
      <c r="J912" t="s">
        <v>13</v>
      </c>
      <c r="K912" t="s">
        <v>178</v>
      </c>
      <c r="L912">
        <f t="shared" si="14"/>
        <v>0.70392425670465264</v>
      </c>
    </row>
    <row r="913" spans="1:12" x14ac:dyDescent="0.2">
      <c r="A913">
        <v>939</v>
      </c>
      <c r="B913" t="s">
        <v>349</v>
      </c>
      <c r="C913" t="s">
        <v>11</v>
      </c>
      <c r="D913" s="1">
        <v>41307</v>
      </c>
      <c r="E913" s="2">
        <v>10459000000</v>
      </c>
      <c r="F913" s="2">
        <v>6073000000</v>
      </c>
      <c r="G913" s="2">
        <v>2720000000</v>
      </c>
      <c r="H913" t="s">
        <v>12</v>
      </c>
      <c r="I913" t="s">
        <v>12</v>
      </c>
      <c r="J913" t="s">
        <v>19</v>
      </c>
      <c r="K913" t="s">
        <v>257</v>
      </c>
      <c r="L913">
        <f t="shared" si="14"/>
        <v>0.41935175446983464</v>
      </c>
    </row>
    <row r="914" spans="1:12" x14ac:dyDescent="0.2">
      <c r="A914">
        <v>940</v>
      </c>
      <c r="B914" t="s">
        <v>349</v>
      </c>
      <c r="C914" t="s">
        <v>15</v>
      </c>
      <c r="D914" s="1">
        <v>41671</v>
      </c>
      <c r="E914" s="2">
        <v>10773000000</v>
      </c>
      <c r="F914" s="2">
        <v>6344000000</v>
      </c>
      <c r="G914" s="2">
        <v>2686000000</v>
      </c>
      <c r="H914" t="s">
        <v>12</v>
      </c>
      <c r="I914" t="s">
        <v>12</v>
      </c>
      <c r="J914" t="s">
        <v>19</v>
      </c>
      <c r="K914" t="s">
        <v>257</v>
      </c>
      <c r="L914">
        <f t="shared" si="14"/>
        <v>0.41112039357653396</v>
      </c>
    </row>
    <row r="915" spans="1:12" x14ac:dyDescent="0.2">
      <c r="A915">
        <v>941</v>
      </c>
      <c r="B915" t="s">
        <v>349</v>
      </c>
      <c r="C915" t="s">
        <v>16</v>
      </c>
      <c r="D915" s="1">
        <v>42035</v>
      </c>
      <c r="E915" s="2">
        <v>11454000000</v>
      </c>
      <c r="F915" s="2">
        <v>6646000000</v>
      </c>
      <c r="G915" s="2">
        <v>2855000000</v>
      </c>
      <c r="H915" t="s">
        <v>12</v>
      </c>
      <c r="I915" t="s">
        <v>12</v>
      </c>
      <c r="J915" t="s">
        <v>19</v>
      </c>
      <c r="K915" t="s">
        <v>257</v>
      </c>
      <c r="L915">
        <f t="shared" si="14"/>
        <v>0.4197660206041558</v>
      </c>
    </row>
    <row r="916" spans="1:12" x14ac:dyDescent="0.2">
      <c r="A916">
        <v>942</v>
      </c>
      <c r="B916" t="s">
        <v>349</v>
      </c>
      <c r="C916" t="s">
        <v>17</v>
      </c>
      <c r="D916" s="1">
        <v>42399</v>
      </c>
      <c r="E916" s="2">
        <v>12154000000</v>
      </c>
      <c r="F916" s="2">
        <v>6950000000</v>
      </c>
      <c r="G916" s="2">
        <v>3012000000</v>
      </c>
      <c r="H916" t="s">
        <v>12</v>
      </c>
      <c r="I916" t="s">
        <v>12</v>
      </c>
      <c r="J916" t="s">
        <v>19</v>
      </c>
      <c r="K916" t="s">
        <v>257</v>
      </c>
      <c r="L916">
        <f t="shared" si="14"/>
        <v>0.42817179529373051</v>
      </c>
    </row>
    <row r="917" spans="1:12" x14ac:dyDescent="0.2">
      <c r="A917">
        <v>943</v>
      </c>
      <c r="B917" t="s">
        <v>350</v>
      </c>
      <c r="C917" t="s">
        <v>11</v>
      </c>
      <c r="D917" s="1">
        <v>41274</v>
      </c>
      <c r="E917" s="2">
        <v>3414500000</v>
      </c>
      <c r="F917" s="2">
        <v>2718900000</v>
      </c>
      <c r="G917" s="2">
        <v>346100000</v>
      </c>
      <c r="H917" t="s">
        <v>12</v>
      </c>
      <c r="I917" s="2">
        <v>25100000</v>
      </c>
      <c r="J917" t="s">
        <v>13</v>
      </c>
      <c r="K917" t="s">
        <v>164</v>
      </c>
      <c r="L917">
        <f t="shared" si="14"/>
        <v>0.20371943183482211</v>
      </c>
    </row>
    <row r="918" spans="1:12" x14ac:dyDescent="0.2">
      <c r="A918">
        <v>944</v>
      </c>
      <c r="B918" t="s">
        <v>350</v>
      </c>
      <c r="C918" t="s">
        <v>15</v>
      </c>
      <c r="D918" s="1">
        <v>41639</v>
      </c>
      <c r="E918" s="2">
        <v>3477200000</v>
      </c>
      <c r="F918" s="2">
        <v>2767300000</v>
      </c>
      <c r="G918" s="2">
        <v>346900000</v>
      </c>
      <c r="H918" t="s">
        <v>12</v>
      </c>
      <c r="I918" s="2">
        <v>25400000</v>
      </c>
      <c r="J918" t="s">
        <v>13</v>
      </c>
      <c r="K918" t="s">
        <v>164</v>
      </c>
      <c r="L918">
        <f t="shared" si="14"/>
        <v>0.20415851834809617</v>
      </c>
    </row>
    <row r="919" spans="1:12" x14ac:dyDescent="0.2">
      <c r="A919">
        <v>945</v>
      </c>
      <c r="B919" t="s">
        <v>350</v>
      </c>
      <c r="C919" t="s">
        <v>16</v>
      </c>
      <c r="D919" s="1">
        <v>42004</v>
      </c>
      <c r="E919" s="2">
        <v>3782300000</v>
      </c>
      <c r="F919" s="2">
        <v>2991900000</v>
      </c>
      <c r="G919" s="2">
        <v>439200000</v>
      </c>
      <c r="H919" t="s">
        <v>12</v>
      </c>
      <c r="I919" s="2">
        <v>19700000</v>
      </c>
      <c r="J919" t="s">
        <v>13</v>
      </c>
      <c r="K919" t="s">
        <v>164</v>
      </c>
      <c r="L919">
        <f t="shared" si="14"/>
        <v>0.20897337598815535</v>
      </c>
    </row>
    <row r="920" spans="1:12" x14ac:dyDescent="0.2">
      <c r="A920">
        <v>946</v>
      </c>
      <c r="B920" t="s">
        <v>350</v>
      </c>
      <c r="C920" t="s">
        <v>17</v>
      </c>
      <c r="D920" s="1">
        <v>42369</v>
      </c>
      <c r="E920" s="2">
        <v>3917200000</v>
      </c>
      <c r="F920" s="2">
        <v>2994000000</v>
      </c>
      <c r="G920" s="2">
        <v>411800000</v>
      </c>
      <c r="H920" t="s">
        <v>12</v>
      </c>
      <c r="I920" s="2">
        <v>20800000</v>
      </c>
      <c r="J920" t="s">
        <v>13</v>
      </c>
      <c r="K920" t="s">
        <v>164</v>
      </c>
      <c r="L920">
        <f t="shared" si="14"/>
        <v>0.23567854590013271</v>
      </c>
    </row>
    <row r="921" spans="1:12" x14ac:dyDescent="0.2">
      <c r="A921">
        <v>947</v>
      </c>
      <c r="B921" t="s">
        <v>351</v>
      </c>
      <c r="C921" t="s">
        <v>11</v>
      </c>
      <c r="D921" s="1">
        <v>41608</v>
      </c>
      <c r="E921" s="2">
        <v>5935095000</v>
      </c>
      <c r="F921" s="2">
        <v>4920664000</v>
      </c>
      <c r="G921" s="2">
        <v>328595000</v>
      </c>
      <c r="H921" t="s">
        <v>12</v>
      </c>
      <c r="I921" t="s">
        <v>12</v>
      </c>
      <c r="J921" t="s">
        <v>19</v>
      </c>
      <c r="K921" t="s">
        <v>201</v>
      </c>
      <c r="L921">
        <f t="shared" si="14"/>
        <v>0.17092076874927864</v>
      </c>
    </row>
    <row r="922" spans="1:12" x14ac:dyDescent="0.2">
      <c r="A922">
        <v>948</v>
      </c>
      <c r="B922" t="s">
        <v>351</v>
      </c>
      <c r="C922" t="s">
        <v>15</v>
      </c>
      <c r="D922" s="1">
        <v>41973</v>
      </c>
      <c r="E922" s="2">
        <v>7779812000</v>
      </c>
      <c r="F922" s="2">
        <v>6336272000</v>
      </c>
      <c r="G922" s="2">
        <v>521502000</v>
      </c>
      <c r="H922" t="s">
        <v>12</v>
      </c>
      <c r="I922" t="s">
        <v>12</v>
      </c>
      <c r="J922" t="s">
        <v>19</v>
      </c>
      <c r="K922" t="s">
        <v>201</v>
      </c>
      <c r="L922">
        <f t="shared" si="14"/>
        <v>0.18554947086124962</v>
      </c>
    </row>
    <row r="923" spans="1:12" x14ac:dyDescent="0.2">
      <c r="A923">
        <v>949</v>
      </c>
      <c r="B923" t="s">
        <v>351</v>
      </c>
      <c r="C923" t="s">
        <v>16</v>
      </c>
      <c r="D923" s="1">
        <v>42338</v>
      </c>
      <c r="E923" s="2">
        <v>9474008000</v>
      </c>
      <c r="F923" s="2">
        <v>7757571000</v>
      </c>
      <c r="G923" s="2">
        <v>630421000</v>
      </c>
      <c r="H923" t="s">
        <v>12</v>
      </c>
      <c r="I923" t="s">
        <v>12</v>
      </c>
      <c r="J923" t="s">
        <v>19</v>
      </c>
      <c r="K923" t="s">
        <v>201</v>
      </c>
      <c r="L923">
        <f t="shared" si="14"/>
        <v>0.18117326901138353</v>
      </c>
    </row>
    <row r="924" spans="1:12" x14ac:dyDescent="0.2">
      <c r="A924">
        <v>950</v>
      </c>
      <c r="B924" t="s">
        <v>351</v>
      </c>
      <c r="C924" t="s">
        <v>17</v>
      </c>
      <c r="D924" s="1">
        <v>42704</v>
      </c>
      <c r="E924" s="2">
        <v>10949999000</v>
      </c>
      <c r="F924" s="2">
        <v>8923519000</v>
      </c>
      <c r="G924" s="2">
        <v>764117000</v>
      </c>
      <c r="H924" t="s">
        <v>12</v>
      </c>
      <c r="I924" t="s">
        <v>12</v>
      </c>
      <c r="J924" t="s">
        <v>19</v>
      </c>
      <c r="K924" t="s">
        <v>201</v>
      </c>
      <c r="L924">
        <f t="shared" si="14"/>
        <v>0.1850666835677337</v>
      </c>
    </row>
    <row r="925" spans="1:12" x14ac:dyDescent="0.2">
      <c r="A925">
        <v>951</v>
      </c>
      <c r="B925" t="s">
        <v>352</v>
      </c>
      <c r="C925" t="s">
        <v>11</v>
      </c>
      <c r="D925" s="1">
        <v>41274</v>
      </c>
      <c r="E925" s="2">
        <v>5671400000</v>
      </c>
      <c r="F925" s="2">
        <v>3421700000</v>
      </c>
      <c r="G925" s="2">
        <v>1114600000</v>
      </c>
      <c r="H925" t="s">
        <v>12</v>
      </c>
      <c r="I925" s="2">
        <v>86300000</v>
      </c>
      <c r="J925" t="s">
        <v>25</v>
      </c>
      <c r="K925" t="s">
        <v>199</v>
      </c>
      <c r="L925">
        <f t="shared" si="14"/>
        <v>0.39667454244101985</v>
      </c>
    </row>
    <row r="926" spans="1:12" x14ac:dyDescent="0.2">
      <c r="A926">
        <v>952</v>
      </c>
      <c r="B926" t="s">
        <v>352</v>
      </c>
      <c r="C926" t="s">
        <v>15</v>
      </c>
      <c r="D926" s="1">
        <v>41639</v>
      </c>
      <c r="E926" s="2">
        <v>5808300000</v>
      </c>
      <c r="F926" s="2">
        <v>3585100000</v>
      </c>
      <c r="G926" s="2">
        <v>1128800000</v>
      </c>
      <c r="H926" t="s">
        <v>12</v>
      </c>
      <c r="I926" s="2">
        <v>81700000</v>
      </c>
      <c r="J926" t="s">
        <v>25</v>
      </c>
      <c r="K926" t="s">
        <v>199</v>
      </c>
      <c r="L926">
        <f t="shared" si="14"/>
        <v>0.3827625983506362</v>
      </c>
    </row>
    <row r="927" spans="1:12" x14ac:dyDescent="0.2">
      <c r="A927">
        <v>953</v>
      </c>
      <c r="B927" t="s">
        <v>352</v>
      </c>
      <c r="C927" t="s">
        <v>16</v>
      </c>
      <c r="D927" s="1">
        <v>42004</v>
      </c>
      <c r="E927" s="2">
        <v>6011600000</v>
      </c>
      <c r="F927" s="2">
        <v>3808500000</v>
      </c>
      <c r="G927" s="2">
        <v>1198200000</v>
      </c>
      <c r="H927" t="s">
        <v>12</v>
      </c>
      <c r="I927" s="2">
        <v>76700000</v>
      </c>
      <c r="J927" t="s">
        <v>25</v>
      </c>
      <c r="K927" t="s">
        <v>199</v>
      </c>
      <c r="L927">
        <f t="shared" si="14"/>
        <v>0.36647481535697646</v>
      </c>
    </row>
    <row r="928" spans="1:12" x14ac:dyDescent="0.2">
      <c r="A928">
        <v>954</v>
      </c>
      <c r="B928" t="s">
        <v>352</v>
      </c>
      <c r="C928" t="s">
        <v>17</v>
      </c>
      <c r="D928" s="1">
        <v>42369</v>
      </c>
      <c r="E928" s="2">
        <v>8680100000</v>
      </c>
      <c r="F928" s="2">
        <v>5776800000</v>
      </c>
      <c r="G928" s="2">
        <v>1622000000</v>
      </c>
      <c r="H928" t="s">
        <v>12</v>
      </c>
      <c r="I928" s="2">
        <v>164500000</v>
      </c>
      <c r="J928" t="s">
        <v>25</v>
      </c>
      <c r="K928" t="s">
        <v>199</v>
      </c>
      <c r="L928">
        <f t="shared" si="14"/>
        <v>0.33447771339039878</v>
      </c>
    </row>
    <row r="929" spans="1:12" x14ac:dyDescent="0.2">
      <c r="A929">
        <v>955</v>
      </c>
      <c r="B929" t="s">
        <v>353</v>
      </c>
      <c r="C929" t="s">
        <v>11</v>
      </c>
      <c r="D929" s="1">
        <v>41274</v>
      </c>
      <c r="E929" s="2">
        <v>4122930000</v>
      </c>
      <c r="F929" s="2">
        <v>2398790000</v>
      </c>
      <c r="G929" s="2">
        <v>1219343000</v>
      </c>
      <c r="H929" t="s">
        <v>12</v>
      </c>
      <c r="I929" s="2">
        <v>64093000</v>
      </c>
      <c r="J929" t="s">
        <v>19</v>
      </c>
      <c r="K929" t="s">
        <v>354</v>
      </c>
      <c r="L929">
        <f t="shared" si="14"/>
        <v>0.41818318525902698</v>
      </c>
    </row>
    <row r="930" spans="1:12" x14ac:dyDescent="0.2">
      <c r="A930">
        <v>956</v>
      </c>
      <c r="B930" t="s">
        <v>353</v>
      </c>
      <c r="C930" t="s">
        <v>15</v>
      </c>
      <c r="D930" s="1">
        <v>41639</v>
      </c>
      <c r="E930" s="2">
        <v>5062528000</v>
      </c>
      <c r="F930" s="2">
        <v>2987126000</v>
      </c>
      <c r="G930" s="2">
        <v>1454080000</v>
      </c>
      <c r="H930" t="s">
        <v>12</v>
      </c>
      <c r="I930" s="2">
        <v>80969000</v>
      </c>
      <c r="J930" t="s">
        <v>19</v>
      </c>
      <c r="K930" t="s">
        <v>354</v>
      </c>
      <c r="L930">
        <f t="shared" si="14"/>
        <v>0.40995368321913483</v>
      </c>
    </row>
    <row r="931" spans="1:12" x14ac:dyDescent="0.2">
      <c r="A931">
        <v>957</v>
      </c>
      <c r="B931" t="s">
        <v>353</v>
      </c>
      <c r="C931" t="s">
        <v>16</v>
      </c>
      <c r="D931" s="1">
        <v>42004</v>
      </c>
      <c r="E931" s="2">
        <v>6740064000</v>
      </c>
      <c r="F931" s="2">
        <v>4088151000</v>
      </c>
      <c r="G931" s="2">
        <v>1866520000</v>
      </c>
      <c r="H931" t="s">
        <v>12</v>
      </c>
      <c r="I931" s="2">
        <v>120719000</v>
      </c>
      <c r="J931" t="s">
        <v>19</v>
      </c>
      <c r="K931" t="s">
        <v>354</v>
      </c>
      <c r="L931">
        <f t="shared" si="14"/>
        <v>0.39345516600435837</v>
      </c>
    </row>
    <row r="932" spans="1:12" x14ac:dyDescent="0.2">
      <c r="A932">
        <v>958</v>
      </c>
      <c r="B932" t="s">
        <v>353</v>
      </c>
      <c r="C932" t="s">
        <v>17</v>
      </c>
      <c r="D932" s="1">
        <v>42369</v>
      </c>
      <c r="E932" s="2">
        <v>7192633000</v>
      </c>
      <c r="F932" s="2">
        <v>4359104000</v>
      </c>
      <c r="G932" s="2">
        <v>1987271000</v>
      </c>
      <c r="H932" t="s">
        <v>12</v>
      </c>
      <c r="I932" s="2">
        <v>122120000</v>
      </c>
      <c r="J932" t="s">
        <v>19</v>
      </c>
      <c r="K932" t="s">
        <v>354</v>
      </c>
      <c r="L932">
        <f t="shared" si="14"/>
        <v>0.39394878064819938</v>
      </c>
    </row>
    <row r="933" spans="1:12" x14ac:dyDescent="0.2">
      <c r="A933">
        <v>959</v>
      </c>
      <c r="B933" t="s">
        <v>355</v>
      </c>
      <c r="C933" t="s">
        <v>11</v>
      </c>
      <c r="D933" s="1">
        <v>41274</v>
      </c>
      <c r="E933" s="2">
        <v>13107000000</v>
      </c>
      <c r="F933" s="2">
        <v>11799000000</v>
      </c>
      <c r="G933" t="s">
        <v>12</v>
      </c>
      <c r="H933" t="s">
        <v>12</v>
      </c>
      <c r="I933" t="s">
        <v>12</v>
      </c>
      <c r="J933" t="s">
        <v>13</v>
      </c>
      <c r="K933" t="s">
        <v>164</v>
      </c>
      <c r="L933">
        <f t="shared" si="14"/>
        <v>9.9794003204394577E-2</v>
      </c>
    </row>
    <row r="934" spans="1:12" x14ac:dyDescent="0.2">
      <c r="A934">
        <v>960</v>
      </c>
      <c r="B934" t="s">
        <v>355</v>
      </c>
      <c r="C934" t="s">
        <v>15</v>
      </c>
      <c r="D934" s="1">
        <v>41639</v>
      </c>
      <c r="E934" s="2">
        <v>11420000000</v>
      </c>
      <c r="F934" s="2">
        <v>10303000000</v>
      </c>
      <c r="G934" t="s">
        <v>12</v>
      </c>
      <c r="H934" t="s">
        <v>12</v>
      </c>
      <c r="I934" t="s">
        <v>12</v>
      </c>
      <c r="J934" t="s">
        <v>13</v>
      </c>
      <c r="K934" t="s">
        <v>164</v>
      </c>
      <c r="L934">
        <f t="shared" si="14"/>
        <v>9.7810858143607682E-2</v>
      </c>
    </row>
    <row r="935" spans="1:12" x14ac:dyDescent="0.2">
      <c r="A935">
        <v>961</v>
      </c>
      <c r="B935" t="s">
        <v>355</v>
      </c>
      <c r="C935" t="s">
        <v>16</v>
      </c>
      <c r="D935" s="1">
        <v>42004</v>
      </c>
      <c r="E935" s="2">
        <v>10986000000</v>
      </c>
      <c r="F935" s="2">
        <v>9974000000</v>
      </c>
      <c r="G935" t="s">
        <v>12</v>
      </c>
      <c r="H935" t="s">
        <v>12</v>
      </c>
      <c r="I935" t="s">
        <v>12</v>
      </c>
      <c r="J935" t="s">
        <v>13</v>
      </c>
      <c r="K935" t="s">
        <v>164</v>
      </c>
      <c r="L935">
        <f t="shared" si="14"/>
        <v>9.2117240123793964E-2</v>
      </c>
    </row>
    <row r="936" spans="1:12" x14ac:dyDescent="0.2">
      <c r="A936">
        <v>962</v>
      </c>
      <c r="B936" t="s">
        <v>355</v>
      </c>
      <c r="C936" t="s">
        <v>17</v>
      </c>
      <c r="D936" s="1">
        <v>42369</v>
      </c>
      <c r="E936" s="2">
        <v>10466000000</v>
      </c>
      <c r="F936" s="2">
        <v>9576000000</v>
      </c>
      <c r="G936" t="s">
        <v>12</v>
      </c>
      <c r="H936" t="s">
        <v>12</v>
      </c>
      <c r="I936" t="s">
        <v>12</v>
      </c>
      <c r="J936" t="s">
        <v>13</v>
      </c>
      <c r="K936" t="s">
        <v>164</v>
      </c>
      <c r="L936">
        <f t="shared" si="14"/>
        <v>8.503726351996943E-2</v>
      </c>
    </row>
    <row r="937" spans="1:12" x14ac:dyDescent="0.2">
      <c r="A937">
        <v>963</v>
      </c>
      <c r="B937" t="s">
        <v>356</v>
      </c>
      <c r="C937" t="s">
        <v>11</v>
      </c>
      <c r="D937" s="1">
        <v>41455</v>
      </c>
      <c r="E937" s="2">
        <v>1282236000</v>
      </c>
      <c r="F937" s="2">
        <v>322516000</v>
      </c>
      <c r="G937" s="2">
        <v>151382000</v>
      </c>
      <c r="H937" s="2">
        <v>235184000</v>
      </c>
      <c r="I937" t="s">
        <v>12</v>
      </c>
      <c r="J937" t="s">
        <v>22</v>
      </c>
      <c r="K937" t="s">
        <v>34</v>
      </c>
      <c r="L937">
        <f t="shared" si="14"/>
        <v>0.74847375990067344</v>
      </c>
    </row>
    <row r="938" spans="1:12" x14ac:dyDescent="0.2">
      <c r="A938">
        <v>964</v>
      </c>
      <c r="B938" t="s">
        <v>356</v>
      </c>
      <c r="C938" t="s">
        <v>15</v>
      </c>
      <c r="D938" s="1">
        <v>41819</v>
      </c>
      <c r="E938" s="2">
        <v>1388386000</v>
      </c>
      <c r="F938" s="2">
        <v>338580000</v>
      </c>
      <c r="G938" s="2">
        <v>159642000</v>
      </c>
      <c r="H938" s="2">
        <v>250434000</v>
      </c>
      <c r="I938" t="s">
        <v>12</v>
      </c>
      <c r="J938" t="s">
        <v>22</v>
      </c>
      <c r="K938" t="s">
        <v>34</v>
      </c>
      <c r="L938">
        <f t="shared" si="14"/>
        <v>0.75613410103530287</v>
      </c>
    </row>
    <row r="939" spans="1:12" x14ac:dyDescent="0.2">
      <c r="A939">
        <v>965</v>
      </c>
      <c r="B939" t="s">
        <v>356</v>
      </c>
      <c r="C939" t="s">
        <v>16</v>
      </c>
      <c r="D939" s="1">
        <v>42183</v>
      </c>
      <c r="E939" s="2">
        <v>1475139000</v>
      </c>
      <c r="F939" s="2">
        <v>355727000</v>
      </c>
      <c r="G939" s="2">
        <v>169952000</v>
      </c>
      <c r="H939" s="2">
        <v>266761000</v>
      </c>
      <c r="I939" t="s">
        <v>12</v>
      </c>
      <c r="J939" t="s">
        <v>22</v>
      </c>
      <c r="K939" t="s">
        <v>34</v>
      </c>
      <c r="L939">
        <f t="shared" si="14"/>
        <v>0.75885187768745865</v>
      </c>
    </row>
    <row r="940" spans="1:12" x14ac:dyDescent="0.2">
      <c r="A940">
        <v>966</v>
      </c>
      <c r="B940" t="s">
        <v>356</v>
      </c>
      <c r="C940" t="s">
        <v>17</v>
      </c>
      <c r="D940" s="1">
        <v>42554</v>
      </c>
      <c r="E940" s="2">
        <v>1423936000</v>
      </c>
      <c r="F940" s="2">
        <v>343801000</v>
      </c>
      <c r="G940" s="2">
        <v>170120000</v>
      </c>
      <c r="H940" s="2">
        <v>276462000</v>
      </c>
      <c r="I940" t="s">
        <v>12</v>
      </c>
      <c r="J940" t="s">
        <v>22</v>
      </c>
      <c r="K940" t="s">
        <v>34</v>
      </c>
      <c r="L940">
        <f t="shared" si="14"/>
        <v>0.75855586206121628</v>
      </c>
    </row>
    <row r="941" spans="1:12" x14ac:dyDescent="0.2">
      <c r="A941">
        <v>967</v>
      </c>
      <c r="B941" t="s">
        <v>357</v>
      </c>
      <c r="C941" t="s">
        <v>11</v>
      </c>
      <c r="D941" s="1">
        <v>41274</v>
      </c>
      <c r="E941" s="2">
        <v>22603400000</v>
      </c>
      <c r="F941" s="2">
        <v>4796500000</v>
      </c>
      <c r="G941" s="2">
        <v>6839500000</v>
      </c>
      <c r="H941" s="2">
        <v>5278100000</v>
      </c>
      <c r="I941" t="s">
        <v>12</v>
      </c>
      <c r="J941" t="s">
        <v>25</v>
      </c>
      <c r="K941" t="s">
        <v>26</v>
      </c>
      <c r="L941">
        <f t="shared" si="14"/>
        <v>0.78779741100896328</v>
      </c>
    </row>
    <row r="942" spans="1:12" x14ac:dyDescent="0.2">
      <c r="A942">
        <v>968</v>
      </c>
      <c r="B942" t="s">
        <v>357</v>
      </c>
      <c r="C942" t="s">
        <v>15</v>
      </c>
      <c r="D942" s="1">
        <v>41639</v>
      </c>
      <c r="E942" s="2">
        <v>23113100000</v>
      </c>
      <c r="F942" s="2">
        <v>4908100000</v>
      </c>
      <c r="G942" s="2">
        <v>6606700000</v>
      </c>
      <c r="H942" s="2">
        <v>5531300000</v>
      </c>
      <c r="I942" t="s">
        <v>12</v>
      </c>
      <c r="J942" t="s">
        <v>25</v>
      </c>
      <c r="K942" t="s">
        <v>26</v>
      </c>
      <c r="L942">
        <f t="shared" si="14"/>
        <v>0.78764856293617036</v>
      </c>
    </row>
    <row r="943" spans="1:12" x14ac:dyDescent="0.2">
      <c r="A943">
        <v>969</v>
      </c>
      <c r="B943" t="s">
        <v>357</v>
      </c>
      <c r="C943" t="s">
        <v>16</v>
      </c>
      <c r="D943" s="1">
        <v>42004</v>
      </c>
      <c r="E943" s="2">
        <v>19615600000</v>
      </c>
      <c r="F943" s="2">
        <v>4932500000</v>
      </c>
      <c r="G943" s="2">
        <v>6280300000</v>
      </c>
      <c r="H943" s="2">
        <v>4733600000</v>
      </c>
      <c r="I943" t="s">
        <v>12</v>
      </c>
      <c r="J943" t="s">
        <v>25</v>
      </c>
      <c r="K943" t="s">
        <v>26</v>
      </c>
      <c r="L943">
        <f t="shared" si="14"/>
        <v>0.74854197679398027</v>
      </c>
    </row>
    <row r="944" spans="1:12" x14ac:dyDescent="0.2">
      <c r="A944">
        <v>970</v>
      </c>
      <c r="B944" t="s">
        <v>357</v>
      </c>
      <c r="C944" t="s">
        <v>17</v>
      </c>
      <c r="D944" s="1">
        <v>42369</v>
      </c>
      <c r="E944" s="2">
        <v>19958700000</v>
      </c>
      <c r="F944" s="2">
        <v>5037200000</v>
      </c>
      <c r="G944" s="2">
        <v>6432400000</v>
      </c>
      <c r="H944" s="2">
        <v>4796400000</v>
      </c>
      <c r="I944" t="s">
        <v>12</v>
      </c>
      <c r="J944" t="s">
        <v>25</v>
      </c>
      <c r="K944" t="s">
        <v>26</v>
      </c>
      <c r="L944">
        <f t="shared" si="14"/>
        <v>0.74761883288991771</v>
      </c>
    </row>
    <row r="945" spans="1:12" x14ac:dyDescent="0.2">
      <c r="A945">
        <v>971</v>
      </c>
      <c r="B945" t="s">
        <v>358</v>
      </c>
      <c r="C945" t="s">
        <v>11</v>
      </c>
      <c r="D945" s="1">
        <v>41639</v>
      </c>
      <c r="E945" s="2">
        <v>45358000000</v>
      </c>
      <c r="F945" s="2">
        <v>41171000000</v>
      </c>
      <c r="G945" s="2">
        <v>-318000000</v>
      </c>
      <c r="H945" t="s">
        <v>12</v>
      </c>
      <c r="I945" t="s">
        <v>12</v>
      </c>
      <c r="J945" t="s">
        <v>13</v>
      </c>
      <c r="K945" t="s">
        <v>91</v>
      </c>
      <c r="L945">
        <f t="shared" si="14"/>
        <v>9.2310066581418937E-2</v>
      </c>
    </row>
    <row r="946" spans="1:12" x14ac:dyDescent="0.2">
      <c r="A946">
        <v>972</v>
      </c>
      <c r="B946" t="s">
        <v>358</v>
      </c>
      <c r="C946" t="s">
        <v>15</v>
      </c>
      <c r="D946" s="1">
        <v>42004</v>
      </c>
      <c r="E946" s="2">
        <v>39946000000</v>
      </c>
      <c r="F946" s="2">
        <v>35263000000</v>
      </c>
      <c r="G946" s="2">
        <v>-329000000</v>
      </c>
      <c r="H946" t="s">
        <v>12</v>
      </c>
      <c r="I946" t="s">
        <v>12</v>
      </c>
      <c r="J946" t="s">
        <v>13</v>
      </c>
      <c r="K946" t="s">
        <v>91</v>
      </c>
      <c r="L946">
        <f t="shared" si="14"/>
        <v>0.11723326490762531</v>
      </c>
    </row>
    <row r="947" spans="1:12" x14ac:dyDescent="0.2">
      <c r="A947">
        <v>973</v>
      </c>
      <c r="B947" t="s">
        <v>358</v>
      </c>
      <c r="C947" t="s">
        <v>16</v>
      </c>
      <c r="D947" s="1">
        <v>42369</v>
      </c>
      <c r="E947" s="2">
        <v>40536000000</v>
      </c>
      <c r="F947" s="2">
        <v>36044000000</v>
      </c>
      <c r="G947" s="2">
        <v>-220000000</v>
      </c>
      <c r="H947" t="s">
        <v>12</v>
      </c>
      <c r="I947" t="s">
        <v>12</v>
      </c>
      <c r="J947" t="s">
        <v>13</v>
      </c>
      <c r="K947" t="s">
        <v>91</v>
      </c>
      <c r="L947">
        <f t="shared" si="14"/>
        <v>0.11081507795539769</v>
      </c>
    </row>
    <row r="948" spans="1:12" x14ac:dyDescent="0.2">
      <c r="A948">
        <v>974</v>
      </c>
      <c r="B948" t="s">
        <v>358</v>
      </c>
      <c r="C948" t="s">
        <v>17</v>
      </c>
      <c r="D948" s="1">
        <v>42735</v>
      </c>
      <c r="E948" s="2">
        <v>47248000000</v>
      </c>
      <c r="F948" s="2">
        <v>42186000000</v>
      </c>
      <c r="G948" s="2">
        <v>-487000000</v>
      </c>
      <c r="H948" t="s">
        <v>12</v>
      </c>
      <c r="I948" t="s">
        <v>12</v>
      </c>
      <c r="J948" t="s">
        <v>13</v>
      </c>
      <c r="K948" t="s">
        <v>91</v>
      </c>
      <c r="L948">
        <f t="shared" si="14"/>
        <v>0.10713681002370468</v>
      </c>
    </row>
    <row r="949" spans="1:12" x14ac:dyDescent="0.2">
      <c r="A949">
        <v>975</v>
      </c>
      <c r="B949" t="s">
        <v>359</v>
      </c>
      <c r="C949" t="s">
        <v>11</v>
      </c>
      <c r="D949" s="1">
        <v>41274</v>
      </c>
      <c r="E949" s="2">
        <v>3094500000</v>
      </c>
      <c r="F949" s="2">
        <v>2144200000</v>
      </c>
      <c r="G949" s="2">
        <v>98200000</v>
      </c>
      <c r="H949" t="s">
        <v>12</v>
      </c>
      <c r="I949" s="2">
        <v>332400000</v>
      </c>
      <c r="J949" t="s">
        <v>42</v>
      </c>
      <c r="K949" t="s">
        <v>45</v>
      </c>
      <c r="L949">
        <f t="shared" si="14"/>
        <v>0.30709322992405885</v>
      </c>
    </row>
    <row r="950" spans="1:12" x14ac:dyDescent="0.2">
      <c r="A950">
        <v>976</v>
      </c>
      <c r="B950" t="s">
        <v>359</v>
      </c>
      <c r="C950" t="s">
        <v>15</v>
      </c>
      <c r="D950" s="1">
        <v>41639</v>
      </c>
      <c r="E950" s="2">
        <v>3276800000</v>
      </c>
      <c r="F950" s="2">
        <v>2272400000</v>
      </c>
      <c r="G950" s="2">
        <v>99600000</v>
      </c>
      <c r="H950" t="s">
        <v>12</v>
      </c>
      <c r="I950" s="2">
        <v>370900000</v>
      </c>
      <c r="J950" t="s">
        <v>42</v>
      </c>
      <c r="K950" t="s">
        <v>45</v>
      </c>
      <c r="L950">
        <f t="shared" si="14"/>
        <v>0.3065185546875</v>
      </c>
    </row>
    <row r="951" spans="1:12" x14ac:dyDescent="0.2">
      <c r="A951">
        <v>977</v>
      </c>
      <c r="B951" t="s">
        <v>359</v>
      </c>
      <c r="C951" t="s">
        <v>16</v>
      </c>
      <c r="D951" s="1">
        <v>42004</v>
      </c>
      <c r="E951" s="2">
        <v>3350300000</v>
      </c>
      <c r="F951" s="2">
        <v>2317500000</v>
      </c>
      <c r="G951" s="2">
        <v>101100000</v>
      </c>
      <c r="H951" t="s">
        <v>12</v>
      </c>
      <c r="I951" s="2">
        <v>388100000</v>
      </c>
      <c r="J951" t="s">
        <v>42</v>
      </c>
      <c r="K951" t="s">
        <v>45</v>
      </c>
      <c r="L951">
        <f t="shared" si="14"/>
        <v>0.30827090111333311</v>
      </c>
    </row>
    <row r="952" spans="1:12" x14ac:dyDescent="0.2">
      <c r="A952">
        <v>978</v>
      </c>
      <c r="B952" t="s">
        <v>359</v>
      </c>
      <c r="C952" t="s">
        <v>17</v>
      </c>
      <c r="D952" s="1">
        <v>42369</v>
      </c>
      <c r="E952" s="2">
        <v>3253600000</v>
      </c>
      <c r="F952" s="2">
        <v>2171600000</v>
      </c>
      <c r="G952" s="2">
        <v>103700000</v>
      </c>
      <c r="H952" t="s">
        <v>12</v>
      </c>
      <c r="I952" s="2">
        <v>401300000</v>
      </c>
      <c r="J952" t="s">
        <v>42</v>
      </c>
      <c r="K952" t="s">
        <v>45</v>
      </c>
      <c r="L952">
        <f t="shared" si="14"/>
        <v>0.33255470863044012</v>
      </c>
    </row>
    <row r="953" spans="1:12" x14ac:dyDescent="0.2">
      <c r="A953">
        <v>979</v>
      </c>
      <c r="B953" t="s">
        <v>360</v>
      </c>
      <c r="C953" t="s">
        <v>11</v>
      </c>
      <c r="D953" s="1">
        <v>41306</v>
      </c>
      <c r="E953" s="2">
        <v>50521000000</v>
      </c>
      <c r="F953" s="2">
        <v>33194000000</v>
      </c>
      <c r="G953" s="2">
        <v>12244000000</v>
      </c>
      <c r="H953" t="s">
        <v>12</v>
      </c>
      <c r="I953" s="2">
        <v>1523000000</v>
      </c>
      <c r="J953" t="s">
        <v>19</v>
      </c>
      <c r="K953" t="s">
        <v>294</v>
      </c>
      <c r="L953">
        <f t="shared" si="14"/>
        <v>0.34296629124522471</v>
      </c>
    </row>
    <row r="954" spans="1:12" x14ac:dyDescent="0.2">
      <c r="A954">
        <v>980</v>
      </c>
      <c r="B954" t="s">
        <v>360</v>
      </c>
      <c r="C954" t="s">
        <v>15</v>
      </c>
      <c r="D954" s="1">
        <v>41670</v>
      </c>
      <c r="E954" s="2">
        <v>53417000000</v>
      </c>
      <c r="F954" s="2">
        <v>34941000000</v>
      </c>
      <c r="G954" s="2">
        <v>12865000000</v>
      </c>
      <c r="H954" t="s">
        <v>12</v>
      </c>
      <c r="I954" s="2">
        <v>1462000000</v>
      </c>
      <c r="J954" t="s">
        <v>19</v>
      </c>
      <c r="K954" t="s">
        <v>294</v>
      </c>
      <c r="L954">
        <f t="shared" si="14"/>
        <v>0.34588239698972234</v>
      </c>
    </row>
    <row r="955" spans="1:12" x14ac:dyDescent="0.2">
      <c r="A955">
        <v>981</v>
      </c>
      <c r="B955" t="s">
        <v>360</v>
      </c>
      <c r="C955" t="s">
        <v>16</v>
      </c>
      <c r="D955" s="1">
        <v>42034</v>
      </c>
      <c r="E955" s="2">
        <v>56223000000</v>
      </c>
      <c r="F955" s="2">
        <v>36665000000</v>
      </c>
      <c r="G955" s="2">
        <v>13281000000</v>
      </c>
      <c r="H955" t="s">
        <v>12</v>
      </c>
      <c r="I955" s="2">
        <v>1485000000</v>
      </c>
      <c r="J955" t="s">
        <v>19</v>
      </c>
      <c r="K955" t="s">
        <v>294</v>
      </c>
      <c r="L955">
        <f t="shared" si="14"/>
        <v>0.34786475285915019</v>
      </c>
    </row>
    <row r="956" spans="1:12" x14ac:dyDescent="0.2">
      <c r="A956">
        <v>982</v>
      </c>
      <c r="B956" t="s">
        <v>360</v>
      </c>
      <c r="C956" t="s">
        <v>17</v>
      </c>
      <c r="D956" s="1">
        <v>42398</v>
      </c>
      <c r="E956" s="2">
        <v>59074000000</v>
      </c>
      <c r="F956" s="2">
        <v>38504000000</v>
      </c>
      <c r="G956" s="2">
        <v>14115000000</v>
      </c>
      <c r="H956" t="s">
        <v>12</v>
      </c>
      <c r="I956" s="2">
        <v>1484000000</v>
      </c>
      <c r="J956" t="s">
        <v>19</v>
      </c>
      <c r="K956" t="s">
        <v>294</v>
      </c>
      <c r="L956">
        <f t="shared" si="14"/>
        <v>0.34820733317533936</v>
      </c>
    </row>
    <row r="957" spans="1:12" x14ac:dyDescent="0.2">
      <c r="A957">
        <v>983</v>
      </c>
      <c r="B957" t="s">
        <v>361</v>
      </c>
      <c r="C957" t="s">
        <v>11</v>
      </c>
      <c r="D957" s="1">
        <v>41455</v>
      </c>
      <c r="E957" s="2">
        <v>3598916000</v>
      </c>
      <c r="F957" s="2">
        <v>2195857000</v>
      </c>
      <c r="G957" s="2">
        <v>601300000</v>
      </c>
      <c r="H957" s="2">
        <v>683688000</v>
      </c>
      <c r="I957" t="s">
        <v>12</v>
      </c>
      <c r="J957" t="s">
        <v>22</v>
      </c>
      <c r="K957" t="s">
        <v>68</v>
      </c>
      <c r="L957">
        <f t="shared" si="14"/>
        <v>0.38985600108477103</v>
      </c>
    </row>
    <row r="958" spans="1:12" x14ac:dyDescent="0.2">
      <c r="A958">
        <v>984</v>
      </c>
      <c r="B958" t="s">
        <v>361</v>
      </c>
      <c r="C958" t="s">
        <v>15</v>
      </c>
      <c r="D958" s="1">
        <v>41819</v>
      </c>
      <c r="E958" s="2">
        <v>4607309000</v>
      </c>
      <c r="F958" s="2">
        <v>2599828000</v>
      </c>
      <c r="G958" s="2">
        <v>613341000</v>
      </c>
      <c r="H958" s="2">
        <v>716471000</v>
      </c>
      <c r="I958" t="s">
        <v>12</v>
      </c>
      <c r="J958" t="s">
        <v>22</v>
      </c>
      <c r="K958" t="s">
        <v>68</v>
      </c>
      <c r="L958">
        <f t="shared" si="14"/>
        <v>0.43571659725883372</v>
      </c>
    </row>
    <row r="959" spans="1:12" x14ac:dyDescent="0.2">
      <c r="A959">
        <v>985</v>
      </c>
      <c r="B959" t="s">
        <v>361</v>
      </c>
      <c r="C959" t="s">
        <v>16</v>
      </c>
      <c r="D959" s="1">
        <v>42183</v>
      </c>
      <c r="E959" s="2">
        <v>5259312000</v>
      </c>
      <c r="F959" s="2">
        <v>2974976000</v>
      </c>
      <c r="G959" s="2">
        <v>591611000</v>
      </c>
      <c r="H959" s="2">
        <v>825242000</v>
      </c>
      <c r="I959" t="s">
        <v>12</v>
      </c>
      <c r="J959" t="s">
        <v>22</v>
      </c>
      <c r="K959" t="s">
        <v>68</v>
      </c>
      <c r="L959">
        <f t="shared" si="14"/>
        <v>0.43434122181760659</v>
      </c>
    </row>
    <row r="960" spans="1:12" x14ac:dyDescent="0.2">
      <c r="A960">
        <v>986</v>
      </c>
      <c r="B960" t="s">
        <v>361</v>
      </c>
      <c r="C960" t="s">
        <v>17</v>
      </c>
      <c r="D960" s="1">
        <v>42547</v>
      </c>
      <c r="E960" s="2">
        <v>5885893000</v>
      </c>
      <c r="F960" s="2">
        <v>3266971000</v>
      </c>
      <c r="G960" s="2">
        <v>630954000</v>
      </c>
      <c r="H960" s="2">
        <v>913712000</v>
      </c>
      <c r="I960" t="s">
        <v>12</v>
      </c>
      <c r="J960" t="s">
        <v>22</v>
      </c>
      <c r="K960" t="s">
        <v>68</v>
      </c>
      <c r="L960">
        <f t="shared" si="14"/>
        <v>0.44494896526321492</v>
      </c>
    </row>
    <row r="961" spans="1:12" x14ac:dyDescent="0.2">
      <c r="A961">
        <v>987</v>
      </c>
      <c r="B961" t="s">
        <v>362</v>
      </c>
      <c r="C961" t="s">
        <v>11</v>
      </c>
      <c r="D961" s="1">
        <v>41274</v>
      </c>
      <c r="E961" s="2">
        <v>7810610000</v>
      </c>
      <c r="F961" s="2">
        <v>7479746000</v>
      </c>
      <c r="G961" s="2">
        <v>360586000</v>
      </c>
      <c r="H961" t="s">
        <v>12</v>
      </c>
      <c r="I961" s="2">
        <v>116388000</v>
      </c>
      <c r="J961" t="s">
        <v>47</v>
      </c>
      <c r="K961" t="s">
        <v>363</v>
      </c>
      <c r="L961">
        <f t="shared" si="14"/>
        <v>4.2360839934396877E-2</v>
      </c>
    </row>
    <row r="962" spans="1:12" x14ac:dyDescent="0.2">
      <c r="A962">
        <v>988</v>
      </c>
      <c r="B962" t="s">
        <v>362</v>
      </c>
      <c r="C962" t="s">
        <v>15</v>
      </c>
      <c r="D962" s="1">
        <v>41639</v>
      </c>
      <c r="E962" s="2">
        <v>9531778000</v>
      </c>
      <c r="F962" s="2">
        <v>7567707000</v>
      </c>
      <c r="G962" s="2">
        <v>2177616000</v>
      </c>
      <c r="H962" t="s">
        <v>12</v>
      </c>
      <c r="I962" s="2">
        <v>167425000</v>
      </c>
      <c r="J962" t="s">
        <v>47</v>
      </c>
      <c r="K962" t="s">
        <v>363</v>
      </c>
      <c r="L962">
        <f t="shared" si="14"/>
        <v>0.20605505079954656</v>
      </c>
    </row>
    <row r="963" spans="1:12" x14ac:dyDescent="0.2">
      <c r="A963">
        <v>989</v>
      </c>
      <c r="B963" t="s">
        <v>362</v>
      </c>
      <c r="C963" t="s">
        <v>16</v>
      </c>
      <c r="D963" s="1">
        <v>42004</v>
      </c>
      <c r="E963" s="2">
        <v>10681897000</v>
      </c>
      <c r="F963" s="2">
        <v>8024286000</v>
      </c>
      <c r="G963" s="2">
        <v>2856642000</v>
      </c>
      <c r="H963" t="s">
        <v>12</v>
      </c>
      <c r="I963" s="2">
        <v>185993000</v>
      </c>
      <c r="J963" t="s">
        <v>47</v>
      </c>
      <c r="K963" t="s">
        <v>363</v>
      </c>
      <c r="L963">
        <f t="shared" ref="L963:L1026" si="15">1-F963/E963</f>
        <v>0.24879578973659833</v>
      </c>
    </row>
    <row r="964" spans="1:12" x14ac:dyDescent="0.2">
      <c r="A964">
        <v>990</v>
      </c>
      <c r="B964" t="s">
        <v>362</v>
      </c>
      <c r="C964" t="s">
        <v>17</v>
      </c>
      <c r="D964" s="1">
        <v>42369</v>
      </c>
      <c r="E964" s="2">
        <v>10116502000</v>
      </c>
      <c r="F964" s="2">
        <v>7677233000</v>
      </c>
      <c r="G964" s="2">
        <v>2620072000</v>
      </c>
      <c r="H964" t="s">
        <v>12</v>
      </c>
      <c r="I964" s="2">
        <v>224133000</v>
      </c>
      <c r="J964" t="s">
        <v>47</v>
      </c>
      <c r="K964" t="s">
        <v>363</v>
      </c>
      <c r="L964">
        <f t="shared" si="15"/>
        <v>0.24111782906779433</v>
      </c>
    </row>
    <row r="965" spans="1:12" x14ac:dyDescent="0.2">
      <c r="A965">
        <v>991</v>
      </c>
      <c r="B965" t="s">
        <v>364</v>
      </c>
      <c r="C965" t="s">
        <v>11</v>
      </c>
      <c r="D965" s="1">
        <v>41639</v>
      </c>
      <c r="E965" s="2">
        <v>17699000000</v>
      </c>
      <c r="F965" s="2">
        <v>8307000000</v>
      </c>
      <c r="G965" s="2">
        <v>7161000000</v>
      </c>
      <c r="H965" t="s">
        <v>12</v>
      </c>
      <c r="I965" s="2">
        <v>867000000</v>
      </c>
      <c r="J965" t="s">
        <v>13</v>
      </c>
      <c r="K965" t="s">
        <v>14</v>
      </c>
      <c r="L965">
        <f t="shared" si="15"/>
        <v>0.53065144923442009</v>
      </c>
    </row>
    <row r="966" spans="1:12" x14ac:dyDescent="0.2">
      <c r="A966">
        <v>992</v>
      </c>
      <c r="B966" t="s">
        <v>364</v>
      </c>
      <c r="C966" t="s">
        <v>15</v>
      </c>
      <c r="D966" s="1">
        <v>42004</v>
      </c>
      <c r="E966" s="2">
        <v>18605000000</v>
      </c>
      <c r="F966" s="2">
        <v>7677000000</v>
      </c>
      <c r="G966" s="2">
        <v>7639000000</v>
      </c>
      <c r="H966" t="s">
        <v>12</v>
      </c>
      <c r="I966" s="2">
        <v>938000000</v>
      </c>
      <c r="J966" t="s">
        <v>13</v>
      </c>
      <c r="K966" t="s">
        <v>14</v>
      </c>
      <c r="L966">
        <f t="shared" si="15"/>
        <v>0.58736898683149685</v>
      </c>
    </row>
    <row r="967" spans="1:12" x14ac:dyDescent="0.2">
      <c r="A967">
        <v>993</v>
      </c>
      <c r="B967" t="s">
        <v>364</v>
      </c>
      <c r="C967" t="s">
        <v>16</v>
      </c>
      <c r="D967" s="1">
        <v>42369</v>
      </c>
      <c r="E967" s="2">
        <v>19820000000</v>
      </c>
      <c r="F967" s="2">
        <v>6025000000</v>
      </c>
      <c r="G967" s="2">
        <v>8625000000</v>
      </c>
      <c r="H967" t="s">
        <v>12</v>
      </c>
      <c r="I967" s="2">
        <v>1015000000</v>
      </c>
      <c r="J967" t="s">
        <v>13</v>
      </c>
      <c r="K967" t="s">
        <v>14</v>
      </c>
      <c r="L967">
        <f t="shared" si="15"/>
        <v>0.69601412714429867</v>
      </c>
    </row>
    <row r="968" spans="1:12" x14ac:dyDescent="0.2">
      <c r="A968">
        <v>994</v>
      </c>
      <c r="B968" t="s">
        <v>364</v>
      </c>
      <c r="C968" t="s">
        <v>17</v>
      </c>
      <c r="D968" s="1">
        <v>42735</v>
      </c>
      <c r="E968" s="2">
        <v>20425000000</v>
      </c>
      <c r="F968" s="2">
        <v>6132000000</v>
      </c>
      <c r="G968" s="2">
        <v>9312000000</v>
      </c>
      <c r="H968" t="s">
        <v>12</v>
      </c>
      <c r="I968" s="2">
        <v>1221000000</v>
      </c>
      <c r="J968" t="s">
        <v>13</v>
      </c>
      <c r="K968" t="s">
        <v>14</v>
      </c>
      <c r="L968">
        <f t="shared" si="15"/>
        <v>0.6997796817625459</v>
      </c>
    </row>
    <row r="969" spans="1:12" x14ac:dyDescent="0.2">
      <c r="A969">
        <v>995</v>
      </c>
      <c r="B969" t="s">
        <v>365</v>
      </c>
      <c r="C969" t="s">
        <v>11</v>
      </c>
      <c r="D969" s="1">
        <v>41274</v>
      </c>
      <c r="E969" s="2">
        <v>6376000000</v>
      </c>
      <c r="F969" s="2">
        <v>3851000000</v>
      </c>
      <c r="G969" s="2">
        <v>1201000000</v>
      </c>
      <c r="H969" t="s">
        <v>12</v>
      </c>
      <c r="I969" s="2">
        <v>749000000</v>
      </c>
      <c r="J969" t="s">
        <v>182</v>
      </c>
      <c r="K969" t="s">
        <v>366</v>
      </c>
      <c r="L969">
        <f t="shared" si="15"/>
        <v>0.39601631116687575</v>
      </c>
    </row>
    <row r="970" spans="1:12" x14ac:dyDescent="0.2">
      <c r="A970">
        <v>996</v>
      </c>
      <c r="B970" t="s">
        <v>365</v>
      </c>
      <c r="C970" t="s">
        <v>15</v>
      </c>
      <c r="D970" s="1">
        <v>41639</v>
      </c>
      <c r="E970" s="2">
        <v>6313000000</v>
      </c>
      <c r="F970" s="2">
        <v>3685000000</v>
      </c>
      <c r="G970" s="2">
        <v>1162000000</v>
      </c>
      <c r="H970" t="s">
        <v>12</v>
      </c>
      <c r="I970" s="2">
        <v>800000000</v>
      </c>
      <c r="J970" t="s">
        <v>182</v>
      </c>
      <c r="K970" t="s">
        <v>366</v>
      </c>
      <c r="L970">
        <f t="shared" si="15"/>
        <v>0.4162838587042611</v>
      </c>
    </row>
    <row r="971" spans="1:12" x14ac:dyDescent="0.2">
      <c r="A971">
        <v>997</v>
      </c>
      <c r="B971" t="s">
        <v>365</v>
      </c>
      <c r="C971" t="s">
        <v>16</v>
      </c>
      <c r="D971" s="1">
        <v>42004</v>
      </c>
      <c r="E971" s="2">
        <v>6777000000</v>
      </c>
      <c r="F971" s="2">
        <v>3775000000</v>
      </c>
      <c r="G971" s="2">
        <v>1181000000</v>
      </c>
      <c r="H971" t="s">
        <v>12</v>
      </c>
      <c r="I971" s="2">
        <v>808000000</v>
      </c>
      <c r="J971" t="s">
        <v>182</v>
      </c>
      <c r="K971" t="s">
        <v>366</v>
      </c>
      <c r="L971">
        <f t="shared" si="15"/>
        <v>0.4429688652796222</v>
      </c>
    </row>
    <row r="972" spans="1:12" x14ac:dyDescent="0.2">
      <c r="A972">
        <v>998</v>
      </c>
      <c r="B972" t="s">
        <v>365</v>
      </c>
      <c r="C972" t="s">
        <v>17</v>
      </c>
      <c r="D972" s="1">
        <v>42369</v>
      </c>
      <c r="E972" s="2">
        <v>8229000000</v>
      </c>
      <c r="F972" s="2">
        <v>4265000000</v>
      </c>
      <c r="G972" s="2">
        <v>1467000000</v>
      </c>
      <c r="H972" t="s">
        <v>12</v>
      </c>
      <c r="I972" s="2">
        <v>1166000000</v>
      </c>
      <c r="J972" t="s">
        <v>182</v>
      </c>
      <c r="K972" t="s">
        <v>366</v>
      </c>
      <c r="L972">
        <f t="shared" si="15"/>
        <v>0.48171102199538218</v>
      </c>
    </row>
    <row r="973" spans="1:12" x14ac:dyDescent="0.2">
      <c r="A973">
        <v>999</v>
      </c>
      <c r="B973" t="s">
        <v>367</v>
      </c>
      <c r="C973" t="s">
        <v>11</v>
      </c>
      <c r="D973" s="1">
        <v>41274</v>
      </c>
      <c r="E973" s="2">
        <v>45352000000</v>
      </c>
      <c r="F973" s="2">
        <v>39595000000</v>
      </c>
      <c r="G973" s="2">
        <v>909000000</v>
      </c>
      <c r="H973" s="2">
        <v>172000000</v>
      </c>
      <c r="I973" t="s">
        <v>12</v>
      </c>
      <c r="J973" t="s">
        <v>59</v>
      </c>
      <c r="K973" t="s">
        <v>193</v>
      </c>
      <c r="L973">
        <f t="shared" si="15"/>
        <v>0.12694037749162113</v>
      </c>
    </row>
    <row r="974" spans="1:12" x14ac:dyDescent="0.2">
      <c r="A974">
        <v>1000</v>
      </c>
      <c r="B974" t="s">
        <v>367</v>
      </c>
      <c r="C974" t="s">
        <v>15</v>
      </c>
      <c r="D974" s="1">
        <v>41639</v>
      </c>
      <c r="E974" s="2">
        <v>44062000000</v>
      </c>
      <c r="F974" s="2">
        <v>37940000000</v>
      </c>
      <c r="G974" s="2">
        <v>870000000</v>
      </c>
      <c r="H974" s="2">
        <v>150000000</v>
      </c>
      <c r="I974" t="s">
        <v>12</v>
      </c>
      <c r="J974" t="s">
        <v>59</v>
      </c>
      <c r="K974" t="s">
        <v>193</v>
      </c>
      <c r="L974">
        <f t="shared" si="15"/>
        <v>0.13894058372293583</v>
      </c>
    </row>
    <row r="975" spans="1:12" x14ac:dyDescent="0.2">
      <c r="A975">
        <v>1001</v>
      </c>
      <c r="B975" t="s">
        <v>367</v>
      </c>
      <c r="C975" t="s">
        <v>16</v>
      </c>
      <c r="D975" s="1">
        <v>42004</v>
      </c>
      <c r="E975" s="2">
        <v>45608000000</v>
      </c>
      <c r="F975" s="2">
        <v>38939000000</v>
      </c>
      <c r="G975" s="2">
        <v>806000000</v>
      </c>
      <c r="H975" s="2">
        <v>127000000</v>
      </c>
      <c r="I975" t="s">
        <v>12</v>
      </c>
      <c r="J975" t="s">
        <v>59</v>
      </c>
      <c r="K975" t="s">
        <v>193</v>
      </c>
      <c r="L975">
        <f t="shared" si="15"/>
        <v>0.14622434660585859</v>
      </c>
    </row>
    <row r="976" spans="1:12" x14ac:dyDescent="0.2">
      <c r="A976">
        <v>1002</v>
      </c>
      <c r="B976" t="s">
        <v>367</v>
      </c>
      <c r="C976" t="s">
        <v>17</v>
      </c>
      <c r="D976" s="1">
        <v>42369</v>
      </c>
      <c r="E976" s="2">
        <v>32735000000</v>
      </c>
      <c r="F976" s="2">
        <v>25683000000</v>
      </c>
      <c r="G976" s="2">
        <v>828000000</v>
      </c>
      <c r="H976" s="2">
        <v>102000000</v>
      </c>
      <c r="I976" t="s">
        <v>12</v>
      </c>
      <c r="J976" t="s">
        <v>59</v>
      </c>
      <c r="K976" t="s">
        <v>193</v>
      </c>
      <c r="L976">
        <f t="shared" si="15"/>
        <v>0.21542691308996487</v>
      </c>
    </row>
    <row r="977" spans="1:12" x14ac:dyDescent="0.2">
      <c r="A977">
        <v>1003</v>
      </c>
      <c r="B977" t="s">
        <v>368</v>
      </c>
      <c r="C977" t="s">
        <v>11</v>
      </c>
      <c r="D977" s="1">
        <v>41307</v>
      </c>
      <c r="E977" s="2">
        <v>27686000000</v>
      </c>
      <c r="F977" s="2">
        <v>16538000000</v>
      </c>
      <c r="G977" s="2">
        <v>8482000000</v>
      </c>
      <c r="H977" t="s">
        <v>12</v>
      </c>
      <c r="I977" t="s">
        <v>12</v>
      </c>
      <c r="J977" t="s">
        <v>19</v>
      </c>
      <c r="K977" t="s">
        <v>334</v>
      </c>
      <c r="L977">
        <f t="shared" si="15"/>
        <v>0.40265838329841797</v>
      </c>
    </row>
    <row r="978" spans="1:12" x14ac:dyDescent="0.2">
      <c r="A978">
        <v>1004</v>
      </c>
      <c r="B978" t="s">
        <v>368</v>
      </c>
      <c r="C978" t="s">
        <v>15</v>
      </c>
      <c r="D978" s="1">
        <v>41671</v>
      </c>
      <c r="E978" s="2">
        <v>27931000000</v>
      </c>
      <c r="F978" s="2">
        <v>16725000000</v>
      </c>
      <c r="G978" s="2">
        <v>8440000000</v>
      </c>
      <c r="H978" t="s">
        <v>12</v>
      </c>
      <c r="I978" t="s">
        <v>12</v>
      </c>
      <c r="J978" t="s">
        <v>19</v>
      </c>
      <c r="K978" t="s">
        <v>334</v>
      </c>
      <c r="L978">
        <f t="shared" si="15"/>
        <v>0.40120296444810422</v>
      </c>
    </row>
    <row r="979" spans="1:12" x14ac:dyDescent="0.2">
      <c r="A979">
        <v>1005</v>
      </c>
      <c r="B979" t="s">
        <v>368</v>
      </c>
      <c r="C979" t="s">
        <v>16</v>
      </c>
      <c r="D979" s="1">
        <v>42035</v>
      </c>
      <c r="E979" s="2">
        <v>28105000000</v>
      </c>
      <c r="F979" s="2">
        <v>16863000000</v>
      </c>
      <c r="G979" s="2">
        <v>8355000000</v>
      </c>
      <c r="H979" t="s">
        <v>12</v>
      </c>
      <c r="I979" t="s">
        <v>12</v>
      </c>
      <c r="J979" t="s">
        <v>19</v>
      </c>
      <c r="K979" t="s">
        <v>334</v>
      </c>
      <c r="L979">
        <f t="shared" si="15"/>
        <v>0.4</v>
      </c>
    </row>
    <row r="980" spans="1:12" x14ac:dyDescent="0.2">
      <c r="A980">
        <v>1006</v>
      </c>
      <c r="B980" t="s">
        <v>368</v>
      </c>
      <c r="C980" t="s">
        <v>17</v>
      </c>
      <c r="D980" s="1">
        <v>42399</v>
      </c>
      <c r="E980" s="2">
        <v>27079000000</v>
      </c>
      <c r="F980" s="2">
        <v>16496000000</v>
      </c>
      <c r="G980" s="2">
        <v>8256000000</v>
      </c>
      <c r="H980" t="s">
        <v>12</v>
      </c>
      <c r="I980" t="s">
        <v>12</v>
      </c>
      <c r="J980" t="s">
        <v>19</v>
      </c>
      <c r="K980" t="s">
        <v>334</v>
      </c>
      <c r="L980">
        <f t="shared" si="15"/>
        <v>0.39081945418959341</v>
      </c>
    </row>
    <row r="981" spans="1:12" x14ac:dyDescent="0.2">
      <c r="A981">
        <v>1007</v>
      </c>
      <c r="B981" t="s">
        <v>369</v>
      </c>
      <c r="C981" t="s">
        <v>11</v>
      </c>
      <c r="D981" s="1">
        <v>41639</v>
      </c>
      <c r="E981" s="2">
        <v>8312000000</v>
      </c>
      <c r="F981" t="s">
        <v>12</v>
      </c>
      <c r="G981" s="2">
        <v>3456000000</v>
      </c>
      <c r="H981" t="s">
        <v>12</v>
      </c>
      <c r="I981" s="2">
        <v>258000000</v>
      </c>
      <c r="J981" t="s">
        <v>22</v>
      </c>
      <c r="K981" t="s">
        <v>57</v>
      </c>
      <c r="L981" t="e">
        <f t="shared" si="15"/>
        <v>#VALUE!</v>
      </c>
    </row>
    <row r="982" spans="1:12" x14ac:dyDescent="0.2">
      <c r="A982">
        <v>1008</v>
      </c>
      <c r="B982" t="s">
        <v>369</v>
      </c>
      <c r="C982" t="s">
        <v>15</v>
      </c>
      <c r="D982" s="1">
        <v>42004</v>
      </c>
      <c r="E982" s="2">
        <v>9441000000</v>
      </c>
      <c r="F982" t="s">
        <v>12</v>
      </c>
      <c r="G982" s="2">
        <v>4014000000</v>
      </c>
      <c r="H982" t="s">
        <v>12</v>
      </c>
      <c r="I982" s="2">
        <v>321000000</v>
      </c>
      <c r="J982" t="s">
        <v>22</v>
      </c>
      <c r="K982" t="s">
        <v>57</v>
      </c>
      <c r="L982" t="e">
        <f t="shared" si="15"/>
        <v>#VALUE!</v>
      </c>
    </row>
    <row r="983" spans="1:12" x14ac:dyDescent="0.2">
      <c r="A983">
        <v>1009</v>
      </c>
      <c r="B983" t="s">
        <v>369</v>
      </c>
      <c r="C983" t="s">
        <v>16</v>
      </c>
      <c r="D983" s="1">
        <v>42369</v>
      </c>
      <c r="E983" s="2">
        <v>9667000000</v>
      </c>
      <c r="F983" t="s">
        <v>12</v>
      </c>
      <c r="G983" s="2">
        <v>4162000000</v>
      </c>
      <c r="H983" t="s">
        <v>12</v>
      </c>
      <c r="I983" s="2">
        <v>366000000</v>
      </c>
      <c r="J983" t="s">
        <v>22</v>
      </c>
      <c r="K983" t="s">
        <v>57</v>
      </c>
      <c r="L983" t="e">
        <f t="shared" si="15"/>
        <v>#VALUE!</v>
      </c>
    </row>
    <row r="984" spans="1:12" x14ac:dyDescent="0.2">
      <c r="A984">
        <v>1010</v>
      </c>
      <c r="B984" t="s">
        <v>369</v>
      </c>
      <c r="C984" t="s">
        <v>17</v>
      </c>
      <c r="D984" s="1">
        <v>42735</v>
      </c>
      <c r="E984" s="2">
        <v>10776000000</v>
      </c>
      <c r="F984" t="s">
        <v>12</v>
      </c>
      <c r="G984" s="2">
        <v>4525000000</v>
      </c>
      <c r="H984" t="s">
        <v>12</v>
      </c>
      <c r="I984" s="2">
        <v>373000000</v>
      </c>
      <c r="J984" t="s">
        <v>22</v>
      </c>
      <c r="K984" t="s">
        <v>57</v>
      </c>
      <c r="L984" t="e">
        <f t="shared" si="15"/>
        <v>#VALUE!</v>
      </c>
    </row>
    <row r="985" spans="1:12" x14ac:dyDescent="0.2">
      <c r="A985">
        <v>1011</v>
      </c>
      <c r="B985" t="s">
        <v>370</v>
      </c>
      <c r="C985" t="s">
        <v>11</v>
      </c>
      <c r="D985" s="1">
        <v>41274</v>
      </c>
      <c r="E985" s="2">
        <v>475888000</v>
      </c>
      <c r="F985" s="2">
        <v>117275000</v>
      </c>
      <c r="G985" s="2">
        <v>47115000</v>
      </c>
      <c r="H985" t="s">
        <v>12</v>
      </c>
      <c r="I985" s="2">
        <v>121211000</v>
      </c>
      <c r="J985" t="s">
        <v>52</v>
      </c>
      <c r="K985" t="s">
        <v>234</v>
      </c>
      <c r="L985">
        <f t="shared" si="15"/>
        <v>0.75356596510103224</v>
      </c>
    </row>
    <row r="986" spans="1:12" x14ac:dyDescent="0.2">
      <c r="A986">
        <v>1012</v>
      </c>
      <c r="B986" t="s">
        <v>370</v>
      </c>
      <c r="C986" t="s">
        <v>15</v>
      </c>
      <c r="D986" s="1">
        <v>41639</v>
      </c>
      <c r="E986" s="2">
        <v>635490000</v>
      </c>
      <c r="F986" s="2">
        <v>172050000</v>
      </c>
      <c r="G986" s="2">
        <v>43720000</v>
      </c>
      <c r="H986" t="s">
        <v>12</v>
      </c>
      <c r="I986" s="2">
        <v>186979000</v>
      </c>
      <c r="J986" t="s">
        <v>52</v>
      </c>
      <c r="K986" t="s">
        <v>234</v>
      </c>
      <c r="L986">
        <f t="shared" si="15"/>
        <v>0.72926403247887461</v>
      </c>
    </row>
    <row r="987" spans="1:12" x14ac:dyDescent="0.2">
      <c r="A987">
        <v>1013</v>
      </c>
      <c r="B987" t="s">
        <v>370</v>
      </c>
      <c r="C987" t="s">
        <v>16</v>
      </c>
      <c r="D987" s="1">
        <v>42004</v>
      </c>
      <c r="E987" s="2">
        <v>992332000</v>
      </c>
      <c r="F987" s="2">
        <v>275379000</v>
      </c>
      <c r="G987" s="2">
        <v>57664000</v>
      </c>
      <c r="H987" t="s">
        <v>12</v>
      </c>
      <c r="I987" s="2">
        <v>301812000</v>
      </c>
      <c r="J987" t="s">
        <v>52</v>
      </c>
      <c r="K987" t="s">
        <v>234</v>
      </c>
      <c r="L987">
        <f t="shared" si="15"/>
        <v>0.72249307691377485</v>
      </c>
    </row>
    <row r="988" spans="1:12" x14ac:dyDescent="0.2">
      <c r="A988">
        <v>1014</v>
      </c>
      <c r="B988" t="s">
        <v>370</v>
      </c>
      <c r="C988" t="s">
        <v>17</v>
      </c>
      <c r="D988" s="1">
        <v>42369</v>
      </c>
      <c r="E988" s="2">
        <v>1042779000</v>
      </c>
      <c r="F988" s="2">
        <v>280901000</v>
      </c>
      <c r="G988" s="2">
        <v>53992000</v>
      </c>
      <c r="H988" t="s">
        <v>12</v>
      </c>
      <c r="I988" s="2">
        <v>294520000</v>
      </c>
      <c r="J988" t="s">
        <v>52</v>
      </c>
      <c r="K988" t="s">
        <v>234</v>
      </c>
      <c r="L988">
        <f t="shared" si="15"/>
        <v>0.73062269186471918</v>
      </c>
    </row>
    <row r="989" spans="1:12" x14ac:dyDescent="0.2">
      <c r="A989">
        <v>1015</v>
      </c>
      <c r="B989" t="s">
        <v>371</v>
      </c>
      <c r="C989" t="s">
        <v>11</v>
      </c>
      <c r="D989" s="1">
        <v>41274</v>
      </c>
      <c r="E989" s="2">
        <v>797517000</v>
      </c>
      <c r="F989" s="2">
        <v>337533000</v>
      </c>
      <c r="G989" s="2">
        <v>20412000</v>
      </c>
      <c r="H989" t="s">
        <v>12</v>
      </c>
      <c r="I989" s="2">
        <v>277621000</v>
      </c>
      <c r="J989" t="s">
        <v>52</v>
      </c>
      <c r="K989" t="s">
        <v>265</v>
      </c>
      <c r="L989">
        <f t="shared" si="15"/>
        <v>0.57677015035416179</v>
      </c>
    </row>
    <row r="990" spans="1:12" x14ac:dyDescent="0.2">
      <c r="A990">
        <v>1016</v>
      </c>
      <c r="B990" t="s">
        <v>371</v>
      </c>
      <c r="C990" t="s">
        <v>15</v>
      </c>
      <c r="D990" s="1">
        <v>41639</v>
      </c>
      <c r="E990" s="2">
        <v>1029475000</v>
      </c>
      <c r="F990" s="2">
        <v>423256000</v>
      </c>
      <c r="G990" s="2">
        <v>27772000</v>
      </c>
      <c r="H990" t="s">
        <v>12</v>
      </c>
      <c r="I990" s="2">
        <v>357165000</v>
      </c>
      <c r="J990" t="s">
        <v>52</v>
      </c>
      <c r="K990" t="s">
        <v>265</v>
      </c>
      <c r="L990">
        <f t="shared" si="15"/>
        <v>0.58886228417397213</v>
      </c>
    </row>
    <row r="991" spans="1:12" x14ac:dyDescent="0.2">
      <c r="A991">
        <v>1017</v>
      </c>
      <c r="B991" t="s">
        <v>371</v>
      </c>
      <c r="C991" t="s">
        <v>16</v>
      </c>
      <c r="D991" s="1">
        <v>42004</v>
      </c>
      <c r="E991" s="2">
        <v>1105247000</v>
      </c>
      <c r="F991" s="2">
        <v>441929000</v>
      </c>
      <c r="G991" s="2">
        <v>29412000</v>
      </c>
      <c r="H991" t="s">
        <v>12</v>
      </c>
      <c r="I991" s="2">
        <v>378716000</v>
      </c>
      <c r="J991" t="s">
        <v>52</v>
      </c>
      <c r="K991" t="s">
        <v>265</v>
      </c>
      <c r="L991">
        <f t="shared" si="15"/>
        <v>0.60015363081736472</v>
      </c>
    </row>
    <row r="992" spans="1:12" x14ac:dyDescent="0.2">
      <c r="A992">
        <v>1018</v>
      </c>
      <c r="B992" t="s">
        <v>371</v>
      </c>
      <c r="C992" t="s">
        <v>17</v>
      </c>
      <c r="D992" s="1">
        <v>42369</v>
      </c>
      <c r="E992" s="2">
        <v>1288149000</v>
      </c>
      <c r="F992" s="2">
        <v>497359000</v>
      </c>
      <c r="G992" s="2">
        <v>29870000</v>
      </c>
      <c r="H992" t="s">
        <v>12</v>
      </c>
      <c r="I992" s="2">
        <v>464472000</v>
      </c>
      <c r="J992" t="s">
        <v>52</v>
      </c>
      <c r="K992" t="s">
        <v>265</v>
      </c>
      <c r="L992">
        <f t="shared" si="15"/>
        <v>0.61389637378905704</v>
      </c>
    </row>
    <row r="993" spans="1:12" x14ac:dyDescent="0.2">
      <c r="A993">
        <v>1019</v>
      </c>
      <c r="B993" t="s">
        <v>372</v>
      </c>
      <c r="C993" t="s">
        <v>11</v>
      </c>
      <c r="D993" s="1">
        <v>41274</v>
      </c>
      <c r="E993" s="2">
        <v>11814000000</v>
      </c>
      <c r="F993" s="2">
        <v>10190000000</v>
      </c>
      <c r="G993" s="2">
        <v>582000000</v>
      </c>
      <c r="H993" t="s">
        <v>12</v>
      </c>
      <c r="I993" s="2">
        <v>102000000</v>
      </c>
      <c r="J993" t="s">
        <v>19</v>
      </c>
      <c r="K993" t="s">
        <v>133</v>
      </c>
      <c r="L993">
        <f t="shared" si="15"/>
        <v>0.13746402573218219</v>
      </c>
    </row>
    <row r="994" spans="1:12" x14ac:dyDescent="0.2">
      <c r="A994">
        <v>1020</v>
      </c>
      <c r="B994" t="s">
        <v>372</v>
      </c>
      <c r="C994" t="s">
        <v>15</v>
      </c>
      <c r="D994" s="1">
        <v>41639</v>
      </c>
      <c r="E994" s="2">
        <v>12784000000</v>
      </c>
      <c r="F994" s="2">
        <v>11020000000</v>
      </c>
      <c r="G994" s="2">
        <v>649000000</v>
      </c>
      <c r="H994" t="s">
        <v>12</v>
      </c>
      <c r="I994" s="2">
        <v>127000000</v>
      </c>
      <c r="J994" t="s">
        <v>19</v>
      </c>
      <c r="K994" t="s">
        <v>133</v>
      </c>
      <c r="L994">
        <f t="shared" si="15"/>
        <v>0.13798498122653313</v>
      </c>
    </row>
    <row r="995" spans="1:12" x14ac:dyDescent="0.2">
      <c r="A995">
        <v>1021</v>
      </c>
      <c r="B995" t="s">
        <v>372</v>
      </c>
      <c r="C995" t="s">
        <v>16</v>
      </c>
      <c r="D995" s="1">
        <v>42004</v>
      </c>
      <c r="E995" s="2">
        <v>13796000000</v>
      </c>
      <c r="F995" s="2">
        <v>11830000000</v>
      </c>
      <c r="G995" s="2">
        <v>659000000</v>
      </c>
      <c r="H995" t="s">
        <v>12</v>
      </c>
      <c r="I995" s="2">
        <v>148000000</v>
      </c>
      <c r="J995" t="s">
        <v>19</v>
      </c>
      <c r="K995" t="s">
        <v>133</v>
      </c>
      <c r="L995">
        <f t="shared" si="15"/>
        <v>0.14250507393447376</v>
      </c>
    </row>
    <row r="996" spans="1:12" x14ac:dyDescent="0.2">
      <c r="A996">
        <v>1022</v>
      </c>
      <c r="B996" t="s">
        <v>372</v>
      </c>
      <c r="C996" t="s">
        <v>17</v>
      </c>
      <c r="D996" s="1">
        <v>42369</v>
      </c>
      <c r="E996" s="2">
        <v>14486000000</v>
      </c>
      <c r="F996" s="2">
        <v>12363000000</v>
      </c>
      <c r="G996" s="2">
        <v>634000000</v>
      </c>
      <c r="H996" t="s">
        <v>12</v>
      </c>
      <c r="I996" s="2">
        <v>139000000</v>
      </c>
      <c r="J996" t="s">
        <v>19</v>
      </c>
      <c r="K996" t="s">
        <v>133</v>
      </c>
      <c r="L996">
        <f t="shared" si="15"/>
        <v>0.14655529476736162</v>
      </c>
    </row>
    <row r="997" spans="1:12" x14ac:dyDescent="0.2">
      <c r="A997">
        <v>1023</v>
      </c>
      <c r="B997" t="s">
        <v>373</v>
      </c>
      <c r="C997" t="s">
        <v>11</v>
      </c>
      <c r="D997" s="1">
        <v>41639</v>
      </c>
      <c r="E997" s="2">
        <v>6761000000</v>
      </c>
      <c r="F997" s="2">
        <v>4802000000</v>
      </c>
      <c r="G997" s="2">
        <v>1347000000</v>
      </c>
      <c r="H997" t="s">
        <v>12</v>
      </c>
      <c r="I997" t="s">
        <v>12</v>
      </c>
      <c r="J997" t="s">
        <v>13</v>
      </c>
      <c r="K997" t="s">
        <v>64</v>
      </c>
      <c r="L997">
        <f t="shared" si="15"/>
        <v>0.28975003697677859</v>
      </c>
    </row>
    <row r="998" spans="1:12" x14ac:dyDescent="0.2">
      <c r="A998">
        <v>1024</v>
      </c>
      <c r="B998" t="s">
        <v>373</v>
      </c>
      <c r="C998" t="s">
        <v>15</v>
      </c>
      <c r="D998" s="1">
        <v>42004</v>
      </c>
      <c r="E998" s="2">
        <v>7006000000</v>
      </c>
      <c r="F998" s="2">
        <v>4946000000</v>
      </c>
      <c r="G998" s="2">
        <v>1338000000</v>
      </c>
      <c r="H998" t="s">
        <v>12</v>
      </c>
      <c r="I998" t="s">
        <v>12</v>
      </c>
      <c r="J998" t="s">
        <v>13</v>
      </c>
      <c r="K998" t="s">
        <v>64</v>
      </c>
      <c r="L998">
        <f t="shared" si="15"/>
        <v>0.29403368541250352</v>
      </c>
    </row>
    <row r="999" spans="1:12" x14ac:dyDescent="0.2">
      <c r="A999">
        <v>1025</v>
      </c>
      <c r="B999" t="s">
        <v>373</v>
      </c>
      <c r="C999" t="s">
        <v>16</v>
      </c>
      <c r="D999" s="1">
        <v>42369</v>
      </c>
      <c r="E999" s="2">
        <v>7142000000</v>
      </c>
      <c r="F999" s="2">
        <v>4889000000</v>
      </c>
      <c r="G999" s="2">
        <v>1339000000</v>
      </c>
      <c r="H999" t="s">
        <v>12</v>
      </c>
      <c r="I999" t="s">
        <v>12</v>
      </c>
      <c r="J999" t="s">
        <v>13</v>
      </c>
      <c r="K999" t="s">
        <v>64</v>
      </c>
      <c r="L999">
        <f t="shared" si="15"/>
        <v>0.31545785494259315</v>
      </c>
    </row>
    <row r="1000" spans="1:12" x14ac:dyDescent="0.2">
      <c r="A1000">
        <v>1026</v>
      </c>
      <c r="B1000" t="s">
        <v>373</v>
      </c>
      <c r="C1000" t="s">
        <v>17</v>
      </c>
      <c r="D1000" s="1">
        <v>42735</v>
      </c>
      <c r="E1000" s="2">
        <v>7357000000</v>
      </c>
      <c r="F1000" s="2">
        <v>4901000000</v>
      </c>
      <c r="G1000" s="2">
        <v>1403000000</v>
      </c>
      <c r="H1000" t="s">
        <v>12</v>
      </c>
      <c r="I1000" t="s">
        <v>12</v>
      </c>
      <c r="J1000" t="s">
        <v>13</v>
      </c>
      <c r="K1000" t="s">
        <v>64</v>
      </c>
      <c r="L1000">
        <f t="shared" si="15"/>
        <v>0.33383172488786195</v>
      </c>
    </row>
    <row r="1001" spans="1:12" x14ac:dyDescent="0.2">
      <c r="A1001">
        <v>1027</v>
      </c>
      <c r="B1001" t="s">
        <v>374</v>
      </c>
      <c r="C1001" t="s">
        <v>11</v>
      </c>
      <c r="D1001" s="1">
        <v>41274</v>
      </c>
      <c r="E1001" s="2">
        <v>6420881000</v>
      </c>
      <c r="F1001" s="2">
        <v>3011684000</v>
      </c>
      <c r="G1001" s="2">
        <v>2388182000</v>
      </c>
      <c r="H1001" t="s">
        <v>12</v>
      </c>
      <c r="I1001" t="s">
        <v>12</v>
      </c>
      <c r="J1001" t="s">
        <v>19</v>
      </c>
      <c r="K1001" t="s">
        <v>286</v>
      </c>
      <c r="L1001">
        <f t="shared" si="15"/>
        <v>0.53095470855167692</v>
      </c>
    </row>
    <row r="1002" spans="1:12" x14ac:dyDescent="0.2">
      <c r="A1002">
        <v>1028</v>
      </c>
      <c r="B1002" t="s">
        <v>374</v>
      </c>
      <c r="C1002" t="s">
        <v>15</v>
      </c>
      <c r="D1002" s="1">
        <v>41639</v>
      </c>
      <c r="E1002" s="2">
        <v>6484892000</v>
      </c>
      <c r="F1002" s="2">
        <v>3006009000</v>
      </c>
      <c r="G1002" s="2">
        <v>2310780000</v>
      </c>
      <c r="H1002" t="s">
        <v>12</v>
      </c>
      <c r="I1002" t="s">
        <v>12</v>
      </c>
      <c r="J1002" t="s">
        <v>19</v>
      </c>
      <c r="K1002" t="s">
        <v>286</v>
      </c>
      <c r="L1002">
        <f t="shared" si="15"/>
        <v>0.53645966656036825</v>
      </c>
    </row>
    <row r="1003" spans="1:12" x14ac:dyDescent="0.2">
      <c r="A1003">
        <v>1029</v>
      </c>
      <c r="B1003" t="s">
        <v>374</v>
      </c>
      <c r="C1003" t="s">
        <v>16</v>
      </c>
      <c r="D1003" s="1">
        <v>42004</v>
      </c>
      <c r="E1003" s="2">
        <v>6023819000</v>
      </c>
      <c r="F1003" s="2">
        <v>3022797000</v>
      </c>
      <c r="G1003" s="2">
        <v>2347308000</v>
      </c>
      <c r="H1003" t="s">
        <v>12</v>
      </c>
      <c r="I1003" t="s">
        <v>12</v>
      </c>
      <c r="J1003" t="s">
        <v>19</v>
      </c>
      <c r="K1003" t="s">
        <v>286</v>
      </c>
      <c r="L1003">
        <f t="shared" si="15"/>
        <v>0.49819259177608088</v>
      </c>
    </row>
    <row r="1004" spans="1:12" x14ac:dyDescent="0.2">
      <c r="A1004">
        <v>1030</v>
      </c>
      <c r="B1004" t="s">
        <v>374</v>
      </c>
      <c r="C1004" t="s">
        <v>17</v>
      </c>
      <c r="D1004" s="1">
        <v>42369</v>
      </c>
      <c r="E1004" s="2">
        <v>5702613000</v>
      </c>
      <c r="F1004" s="2">
        <v>2896255000</v>
      </c>
      <c r="G1004" s="2">
        <v>2265436000</v>
      </c>
      <c r="H1004" t="s">
        <v>12</v>
      </c>
      <c r="I1004" t="s">
        <v>12</v>
      </c>
      <c r="J1004" t="s">
        <v>19</v>
      </c>
      <c r="K1004" t="s">
        <v>286</v>
      </c>
      <c r="L1004">
        <f t="shared" si="15"/>
        <v>0.49211791156089324</v>
      </c>
    </row>
    <row r="1005" spans="1:12" x14ac:dyDescent="0.2">
      <c r="A1005">
        <v>1031</v>
      </c>
      <c r="B1005" t="s">
        <v>375</v>
      </c>
      <c r="C1005" t="s">
        <v>11</v>
      </c>
      <c r="D1005" s="1">
        <v>41274</v>
      </c>
      <c r="E1005" s="2">
        <v>27567000000</v>
      </c>
      <c r="F1005" s="2">
        <v>16750700000</v>
      </c>
      <c r="G1005" s="2">
        <v>2211700000</v>
      </c>
      <c r="H1005" t="s">
        <v>12</v>
      </c>
      <c r="I1005" t="s">
        <v>12</v>
      </c>
      <c r="J1005" t="s">
        <v>19</v>
      </c>
      <c r="K1005" t="s">
        <v>155</v>
      </c>
      <c r="L1005">
        <f t="shared" si="15"/>
        <v>0.39236405847571376</v>
      </c>
    </row>
    <row r="1006" spans="1:12" x14ac:dyDescent="0.2">
      <c r="A1006">
        <v>1032</v>
      </c>
      <c r="B1006" t="s">
        <v>375</v>
      </c>
      <c r="C1006" t="s">
        <v>15</v>
      </c>
      <c r="D1006" s="1">
        <v>41639</v>
      </c>
      <c r="E1006" s="2">
        <v>28105700000</v>
      </c>
      <c r="F1006" s="2">
        <v>17203000000</v>
      </c>
      <c r="G1006" s="2">
        <v>2138400000</v>
      </c>
      <c r="H1006" t="s">
        <v>12</v>
      </c>
      <c r="I1006" t="s">
        <v>12</v>
      </c>
      <c r="J1006" t="s">
        <v>19</v>
      </c>
      <c r="K1006" t="s">
        <v>155</v>
      </c>
      <c r="L1006">
        <f t="shared" si="15"/>
        <v>0.38791775333829082</v>
      </c>
    </row>
    <row r="1007" spans="1:12" x14ac:dyDescent="0.2">
      <c r="A1007">
        <v>1033</v>
      </c>
      <c r="B1007" t="s">
        <v>375</v>
      </c>
      <c r="C1007" t="s">
        <v>16</v>
      </c>
      <c r="D1007" s="1">
        <v>42004</v>
      </c>
      <c r="E1007" s="2">
        <v>27441300000</v>
      </c>
      <c r="F1007" s="2">
        <v>16985600000</v>
      </c>
      <c r="G1007" s="2">
        <v>2506500000</v>
      </c>
      <c r="H1007" t="s">
        <v>12</v>
      </c>
      <c r="I1007" t="s">
        <v>12</v>
      </c>
      <c r="J1007" t="s">
        <v>19</v>
      </c>
      <c r="K1007" t="s">
        <v>155</v>
      </c>
      <c r="L1007">
        <f t="shared" si="15"/>
        <v>0.38102057847113657</v>
      </c>
    </row>
    <row r="1008" spans="1:12" x14ac:dyDescent="0.2">
      <c r="A1008">
        <v>1034</v>
      </c>
      <c r="B1008" t="s">
        <v>375</v>
      </c>
      <c r="C1008" t="s">
        <v>17</v>
      </c>
      <c r="D1008" s="1">
        <v>42369</v>
      </c>
      <c r="E1008" s="2">
        <v>25413000000</v>
      </c>
      <c r="F1008" s="2">
        <v>15623800000</v>
      </c>
      <c r="G1008" s="2">
        <v>2643700000</v>
      </c>
      <c r="H1008" t="s">
        <v>12</v>
      </c>
      <c r="I1008" t="s">
        <v>12</v>
      </c>
      <c r="J1008" t="s">
        <v>19</v>
      </c>
      <c r="K1008" t="s">
        <v>155</v>
      </c>
      <c r="L1008">
        <f t="shared" si="15"/>
        <v>0.3852044229331445</v>
      </c>
    </row>
    <row r="1009" spans="1:12" x14ac:dyDescent="0.2">
      <c r="A1009">
        <v>1035</v>
      </c>
      <c r="B1009" t="s">
        <v>376</v>
      </c>
      <c r="C1009" t="s">
        <v>11</v>
      </c>
      <c r="D1009" s="1">
        <v>41364</v>
      </c>
      <c r="E1009" s="2">
        <v>1581623000</v>
      </c>
      <c r="F1009" s="2">
        <v>743164000</v>
      </c>
      <c r="G1009" s="2">
        <v>261471000</v>
      </c>
      <c r="H1009" s="2">
        <v>254723000</v>
      </c>
      <c r="I1009" s="2">
        <v>111537000</v>
      </c>
      <c r="J1009" t="s">
        <v>22</v>
      </c>
      <c r="K1009" t="s">
        <v>34</v>
      </c>
      <c r="L1009">
        <f t="shared" si="15"/>
        <v>0.53012569999298187</v>
      </c>
    </row>
    <row r="1010" spans="1:12" x14ac:dyDescent="0.2">
      <c r="A1010">
        <v>1036</v>
      </c>
      <c r="B1010" t="s">
        <v>376</v>
      </c>
      <c r="C1010" t="s">
        <v>15</v>
      </c>
      <c r="D1010" s="1">
        <v>41729</v>
      </c>
      <c r="E1010" s="2">
        <v>1931217000</v>
      </c>
      <c r="F1010" s="2">
        <v>802474000</v>
      </c>
      <c r="G1010" s="2">
        <v>267278000</v>
      </c>
      <c r="H1010" s="2">
        <v>305043000</v>
      </c>
      <c r="I1010" s="2">
        <v>94534000</v>
      </c>
      <c r="J1010" t="s">
        <v>22</v>
      </c>
      <c r="K1010" t="s">
        <v>34</v>
      </c>
      <c r="L1010">
        <f t="shared" si="15"/>
        <v>0.58447238192290141</v>
      </c>
    </row>
    <row r="1011" spans="1:12" x14ac:dyDescent="0.2">
      <c r="A1011">
        <v>1037</v>
      </c>
      <c r="B1011" t="s">
        <v>376</v>
      </c>
      <c r="C1011" t="s">
        <v>16</v>
      </c>
      <c r="D1011" s="1">
        <v>42094</v>
      </c>
      <c r="E1011" s="2">
        <v>2147036000</v>
      </c>
      <c r="F1011" s="2">
        <v>917472000</v>
      </c>
      <c r="G1011" s="2">
        <v>274815000</v>
      </c>
      <c r="H1011" s="2">
        <v>349543000</v>
      </c>
      <c r="I1011" s="2">
        <v>176746000</v>
      </c>
      <c r="J1011" t="s">
        <v>22</v>
      </c>
      <c r="K1011" t="s">
        <v>34</v>
      </c>
      <c r="L1011">
        <f t="shared" si="15"/>
        <v>0.57267973149961149</v>
      </c>
    </row>
    <row r="1012" spans="1:12" x14ac:dyDescent="0.2">
      <c r="A1012">
        <v>1038</v>
      </c>
      <c r="B1012" t="s">
        <v>376</v>
      </c>
      <c r="C1012" t="s">
        <v>17</v>
      </c>
      <c r="D1012" s="1">
        <v>42460</v>
      </c>
      <c r="E1012" s="2">
        <v>2173334000</v>
      </c>
      <c r="F1012" s="2">
        <v>967870000</v>
      </c>
      <c r="G1012" s="2">
        <v>301670000</v>
      </c>
      <c r="H1012" s="2">
        <v>372596000</v>
      </c>
      <c r="I1012" s="2">
        <v>174896000</v>
      </c>
      <c r="J1012" t="s">
        <v>22</v>
      </c>
      <c r="K1012" t="s">
        <v>34</v>
      </c>
      <c r="L1012">
        <f t="shared" si="15"/>
        <v>0.5546611795517854</v>
      </c>
    </row>
    <row r="1013" spans="1:12" x14ac:dyDescent="0.2">
      <c r="A1013">
        <v>1039</v>
      </c>
      <c r="B1013" t="s">
        <v>377</v>
      </c>
      <c r="C1013" t="s">
        <v>11</v>
      </c>
      <c r="D1013" s="1">
        <v>41364</v>
      </c>
      <c r="E1013" s="2">
        <v>122196000000</v>
      </c>
      <c r="F1013" s="2">
        <v>115315000000</v>
      </c>
      <c r="G1013" s="2">
        <v>4110000000</v>
      </c>
      <c r="H1013" s="2">
        <v>433000000</v>
      </c>
      <c r="I1013" t="s">
        <v>12</v>
      </c>
      <c r="J1013" t="s">
        <v>25</v>
      </c>
      <c r="K1013" t="s">
        <v>28</v>
      </c>
      <c r="L1013">
        <f t="shared" si="15"/>
        <v>5.6311172215129823E-2</v>
      </c>
    </row>
    <row r="1014" spans="1:12" x14ac:dyDescent="0.2">
      <c r="A1014">
        <v>1040</v>
      </c>
      <c r="B1014" t="s">
        <v>377</v>
      </c>
      <c r="C1014" t="s">
        <v>15</v>
      </c>
      <c r="D1014" s="1">
        <v>41729</v>
      </c>
      <c r="E1014" s="2">
        <v>137392000000</v>
      </c>
      <c r="F1014" s="2">
        <v>129040000000</v>
      </c>
      <c r="G1014" s="2">
        <v>5388000000</v>
      </c>
      <c r="H1014" s="2">
        <v>457000000</v>
      </c>
      <c r="I1014" t="s">
        <v>12</v>
      </c>
      <c r="J1014" t="s">
        <v>25</v>
      </c>
      <c r="K1014" t="s">
        <v>28</v>
      </c>
      <c r="L1014">
        <f t="shared" si="15"/>
        <v>6.0789565622452524E-2</v>
      </c>
    </row>
    <row r="1015" spans="1:12" x14ac:dyDescent="0.2">
      <c r="A1015">
        <v>1041</v>
      </c>
      <c r="B1015" t="s">
        <v>377</v>
      </c>
      <c r="C1015" t="s">
        <v>16</v>
      </c>
      <c r="D1015" s="1">
        <v>42094</v>
      </c>
      <c r="E1015" s="2">
        <v>179045000000</v>
      </c>
      <c r="F1015" s="2">
        <v>167634000000</v>
      </c>
      <c r="G1015" s="2">
        <v>7901000000</v>
      </c>
      <c r="H1015" s="2">
        <v>392000000</v>
      </c>
      <c r="I1015" t="s">
        <v>12</v>
      </c>
      <c r="J1015" t="s">
        <v>25</v>
      </c>
      <c r="K1015" t="s">
        <v>28</v>
      </c>
      <c r="L1015">
        <f t="shared" si="15"/>
        <v>6.3732581194671734E-2</v>
      </c>
    </row>
    <row r="1016" spans="1:12" x14ac:dyDescent="0.2">
      <c r="A1016">
        <v>1042</v>
      </c>
      <c r="B1016" t="s">
        <v>377</v>
      </c>
      <c r="C1016" t="s">
        <v>17</v>
      </c>
      <c r="D1016" s="1">
        <v>42460</v>
      </c>
      <c r="E1016" s="2">
        <v>190884000000</v>
      </c>
      <c r="F1016" s="2">
        <v>179468000000</v>
      </c>
      <c r="G1016" s="2">
        <v>7276000000</v>
      </c>
      <c r="H1016" s="2">
        <v>392000000</v>
      </c>
      <c r="I1016" t="s">
        <v>12</v>
      </c>
      <c r="J1016" t="s">
        <v>25</v>
      </c>
      <c r="K1016" t="s">
        <v>28</v>
      </c>
      <c r="L1016">
        <f t="shared" si="15"/>
        <v>5.980595544938283E-2</v>
      </c>
    </row>
    <row r="1017" spans="1:12" x14ac:dyDescent="0.2">
      <c r="A1017">
        <v>1043</v>
      </c>
      <c r="B1017" t="s">
        <v>378</v>
      </c>
      <c r="C1017" t="s">
        <v>11</v>
      </c>
      <c r="D1017" s="1">
        <v>41274</v>
      </c>
      <c r="E1017" s="2">
        <v>2730300000</v>
      </c>
      <c r="F1017" s="2">
        <v>795000000</v>
      </c>
      <c r="G1017" s="2">
        <v>752200000</v>
      </c>
      <c r="H1017" t="s">
        <v>12</v>
      </c>
      <c r="I1017" s="2">
        <v>93500000</v>
      </c>
      <c r="J1017" t="s">
        <v>47</v>
      </c>
      <c r="K1017" t="s">
        <v>379</v>
      </c>
      <c r="L1017">
        <f t="shared" si="15"/>
        <v>0.70882320624107242</v>
      </c>
    </row>
    <row r="1018" spans="1:12" x14ac:dyDescent="0.2">
      <c r="A1018">
        <v>1044</v>
      </c>
      <c r="B1018" t="s">
        <v>378</v>
      </c>
      <c r="C1018" t="s">
        <v>15</v>
      </c>
      <c r="D1018" s="1">
        <v>41639</v>
      </c>
      <c r="E1018" s="2">
        <v>2972500000</v>
      </c>
      <c r="F1018" s="2">
        <v>822400000</v>
      </c>
      <c r="G1018" s="2">
        <v>822100000</v>
      </c>
      <c r="H1018" t="s">
        <v>12</v>
      </c>
      <c r="I1018" s="2">
        <v>93400000</v>
      </c>
      <c r="J1018" t="s">
        <v>47</v>
      </c>
      <c r="K1018" t="s">
        <v>379</v>
      </c>
      <c r="L1018">
        <f t="shared" si="15"/>
        <v>0.72333052985702273</v>
      </c>
    </row>
    <row r="1019" spans="1:12" x14ac:dyDescent="0.2">
      <c r="A1019">
        <v>1045</v>
      </c>
      <c r="B1019" t="s">
        <v>378</v>
      </c>
      <c r="C1019" t="s">
        <v>16</v>
      </c>
      <c r="D1019" s="1">
        <v>42004</v>
      </c>
      <c r="E1019" s="2">
        <v>3334300000</v>
      </c>
      <c r="F1019" s="2">
        <v>930300000</v>
      </c>
      <c r="G1019" s="2">
        <v>869300000</v>
      </c>
      <c r="H1019" t="s">
        <v>12</v>
      </c>
      <c r="I1019" s="2">
        <v>95600000</v>
      </c>
      <c r="J1019" t="s">
        <v>47</v>
      </c>
      <c r="K1019" t="s">
        <v>379</v>
      </c>
      <c r="L1019">
        <f t="shared" si="15"/>
        <v>0.72099091263533577</v>
      </c>
    </row>
    <row r="1020" spans="1:12" x14ac:dyDescent="0.2">
      <c r="A1020">
        <v>1046</v>
      </c>
      <c r="B1020" t="s">
        <v>378</v>
      </c>
      <c r="C1020" t="s">
        <v>17</v>
      </c>
      <c r="D1020" s="1">
        <v>42369</v>
      </c>
      <c r="E1020" s="2">
        <v>3484500000</v>
      </c>
      <c r="F1020" s="2">
        <v>976300000</v>
      </c>
      <c r="G1020" s="2">
        <v>921300000</v>
      </c>
      <c r="H1020" t="s">
        <v>12</v>
      </c>
      <c r="I1020" s="2">
        <v>113500000</v>
      </c>
      <c r="J1020" t="s">
        <v>47</v>
      </c>
      <c r="K1020" t="s">
        <v>379</v>
      </c>
      <c r="L1020">
        <f t="shared" si="15"/>
        <v>0.71981632945903284</v>
      </c>
    </row>
    <row r="1021" spans="1:12" x14ac:dyDescent="0.2">
      <c r="A1021">
        <v>1047</v>
      </c>
      <c r="B1021" t="s">
        <v>380</v>
      </c>
      <c r="C1021" t="s">
        <v>11</v>
      </c>
      <c r="D1021" s="1">
        <v>41274</v>
      </c>
      <c r="E1021" s="2">
        <v>35015000000</v>
      </c>
      <c r="F1021" s="2">
        <v>21939000000</v>
      </c>
      <c r="G1021" s="2">
        <v>9176000000</v>
      </c>
      <c r="H1021" t="s">
        <v>12</v>
      </c>
      <c r="I1021" s="2">
        <v>217000000</v>
      </c>
      <c r="J1021" t="s">
        <v>36</v>
      </c>
      <c r="K1021" t="s">
        <v>124</v>
      </c>
      <c r="L1021">
        <f t="shared" si="15"/>
        <v>0.37343995430529775</v>
      </c>
    </row>
    <row r="1022" spans="1:12" x14ac:dyDescent="0.2">
      <c r="A1022">
        <v>1048</v>
      </c>
      <c r="B1022" t="s">
        <v>380</v>
      </c>
      <c r="C1022" t="s">
        <v>15</v>
      </c>
      <c r="D1022" s="1">
        <v>41639</v>
      </c>
      <c r="E1022" s="2">
        <v>35299000000</v>
      </c>
      <c r="F1022" s="2">
        <v>22189000000</v>
      </c>
      <c r="G1022" s="2">
        <v>8679000000</v>
      </c>
      <c r="H1022" t="s">
        <v>12</v>
      </c>
      <c r="I1022" s="2">
        <v>217000000</v>
      </c>
      <c r="J1022" t="s">
        <v>36</v>
      </c>
      <c r="K1022" t="s">
        <v>124</v>
      </c>
      <c r="L1022">
        <f t="shared" si="15"/>
        <v>0.37139862319045869</v>
      </c>
    </row>
    <row r="1023" spans="1:12" x14ac:dyDescent="0.2">
      <c r="A1023">
        <v>1049</v>
      </c>
      <c r="B1023" t="s">
        <v>380</v>
      </c>
      <c r="C1023" t="s">
        <v>16</v>
      </c>
      <c r="D1023" s="1">
        <v>42004</v>
      </c>
      <c r="E1023" s="2">
        <v>34244000000</v>
      </c>
      <c r="F1023" s="2">
        <v>21647000000</v>
      </c>
      <c r="G1023" s="2">
        <v>8457000000</v>
      </c>
      <c r="H1023" t="s">
        <v>12</v>
      </c>
      <c r="I1023" s="2">
        <v>206000000</v>
      </c>
      <c r="J1023" t="s">
        <v>36</v>
      </c>
      <c r="K1023" t="s">
        <v>124</v>
      </c>
      <c r="L1023">
        <f t="shared" si="15"/>
        <v>0.36786006307674335</v>
      </c>
    </row>
    <row r="1024" spans="1:12" x14ac:dyDescent="0.2">
      <c r="A1024">
        <v>1050</v>
      </c>
      <c r="B1024" t="s">
        <v>380</v>
      </c>
      <c r="C1024" t="s">
        <v>17</v>
      </c>
      <c r="D1024" s="1">
        <v>42369</v>
      </c>
      <c r="E1024" s="2">
        <v>29636000000</v>
      </c>
      <c r="F1024" s="2">
        <v>18124000000</v>
      </c>
      <c r="G1024" s="2">
        <v>7577000000</v>
      </c>
      <c r="H1024" t="s">
        <v>12</v>
      </c>
      <c r="I1024" s="2">
        <v>181000000</v>
      </c>
      <c r="J1024" t="s">
        <v>36</v>
      </c>
      <c r="K1024" t="s">
        <v>124</v>
      </c>
      <c r="L1024">
        <f t="shared" si="15"/>
        <v>0.38844648400593873</v>
      </c>
    </row>
    <row r="1025" spans="1:12" x14ac:dyDescent="0.2">
      <c r="A1025">
        <v>1051</v>
      </c>
      <c r="B1025" t="s">
        <v>381</v>
      </c>
      <c r="C1025" t="s">
        <v>11</v>
      </c>
      <c r="D1025" s="1">
        <v>41274</v>
      </c>
      <c r="E1025" s="2">
        <v>68150000000</v>
      </c>
      <c r="F1025" s="2">
        <v>37987000000</v>
      </c>
      <c r="G1025" s="2">
        <v>9098000000</v>
      </c>
      <c r="H1025" t="s">
        <v>12</v>
      </c>
      <c r="I1025" s="2">
        <v>17755000000</v>
      </c>
      <c r="J1025" t="s">
        <v>47</v>
      </c>
      <c r="K1025" t="s">
        <v>48</v>
      </c>
      <c r="L1025">
        <f t="shared" si="15"/>
        <v>0.44259721203228175</v>
      </c>
    </row>
    <row r="1026" spans="1:12" x14ac:dyDescent="0.2">
      <c r="A1026">
        <v>1052</v>
      </c>
      <c r="B1026" t="s">
        <v>381</v>
      </c>
      <c r="C1026" t="s">
        <v>15</v>
      </c>
      <c r="D1026" s="1">
        <v>41639</v>
      </c>
      <c r="E1026" s="2">
        <v>68199000000</v>
      </c>
      <c r="F1026" s="2">
        <v>38107000000</v>
      </c>
      <c r="G1026" s="2">
        <v>9438000000</v>
      </c>
      <c r="H1026" t="s">
        <v>12</v>
      </c>
      <c r="I1026" s="2">
        <v>16602000000</v>
      </c>
      <c r="J1026" t="s">
        <v>47</v>
      </c>
      <c r="K1026" t="s">
        <v>48</v>
      </c>
      <c r="L1026">
        <f t="shared" si="15"/>
        <v>0.44123814132172023</v>
      </c>
    </row>
    <row r="1027" spans="1:12" x14ac:dyDescent="0.2">
      <c r="A1027">
        <v>1053</v>
      </c>
      <c r="B1027" t="s">
        <v>381</v>
      </c>
      <c r="C1027" t="s">
        <v>16</v>
      </c>
      <c r="D1027" s="1">
        <v>42004</v>
      </c>
      <c r="E1027" s="2">
        <v>73316000000</v>
      </c>
      <c r="F1027" s="2">
        <v>39102000000</v>
      </c>
      <c r="G1027" s="2">
        <v>8319000000</v>
      </c>
      <c r="H1027" t="s">
        <v>12</v>
      </c>
      <c r="I1027" s="2">
        <v>17091000000</v>
      </c>
      <c r="J1027" t="s">
        <v>47</v>
      </c>
      <c r="K1027" t="s">
        <v>48</v>
      </c>
      <c r="L1027">
        <f t="shared" ref="L1027:L1090" si="16">1-F1027/E1027</f>
        <v>0.46666484805499486</v>
      </c>
    </row>
    <row r="1028" spans="1:12" x14ac:dyDescent="0.2">
      <c r="A1028">
        <v>1054</v>
      </c>
      <c r="B1028" t="s">
        <v>381</v>
      </c>
      <c r="C1028" t="s">
        <v>17</v>
      </c>
      <c r="D1028" s="1">
        <v>42369</v>
      </c>
      <c r="E1028" s="2">
        <v>69951000000</v>
      </c>
      <c r="F1028" s="2">
        <v>38714000000</v>
      </c>
      <c r="G1028" s="2">
        <v>6998000000</v>
      </c>
      <c r="H1028" t="s">
        <v>12</v>
      </c>
      <c r="I1028" s="2">
        <v>16769000000</v>
      </c>
      <c r="J1028" t="s">
        <v>47</v>
      </c>
      <c r="K1028" t="s">
        <v>48</v>
      </c>
      <c r="L1028">
        <f t="shared" si="16"/>
        <v>0.44655544595502561</v>
      </c>
    </row>
    <row r="1029" spans="1:12" x14ac:dyDescent="0.2">
      <c r="A1029">
        <v>1055</v>
      </c>
      <c r="B1029" t="s">
        <v>382</v>
      </c>
      <c r="C1029" t="s">
        <v>11</v>
      </c>
      <c r="D1029" s="1">
        <v>41274</v>
      </c>
      <c r="E1029" s="2">
        <v>5787980000</v>
      </c>
      <c r="F1029" s="2">
        <v>4297922000</v>
      </c>
      <c r="G1029" s="2">
        <v>1110550000</v>
      </c>
      <c r="H1029" t="s">
        <v>12</v>
      </c>
      <c r="I1029" t="s">
        <v>12</v>
      </c>
      <c r="J1029" t="s">
        <v>19</v>
      </c>
      <c r="K1029" t="s">
        <v>383</v>
      </c>
      <c r="L1029">
        <f t="shared" si="16"/>
        <v>0.25744007408456837</v>
      </c>
    </row>
    <row r="1030" spans="1:12" x14ac:dyDescent="0.2">
      <c r="A1030">
        <v>1056</v>
      </c>
      <c r="B1030" t="s">
        <v>382</v>
      </c>
      <c r="C1030" t="s">
        <v>15</v>
      </c>
      <c r="D1030" s="1">
        <v>41639</v>
      </c>
      <c r="E1030" s="2">
        <v>7348754000</v>
      </c>
      <c r="F1030" s="2">
        <v>5427945000</v>
      </c>
      <c r="G1030" s="2">
        <v>1373878000</v>
      </c>
      <c r="H1030" t="s">
        <v>12</v>
      </c>
      <c r="I1030" t="s">
        <v>12</v>
      </c>
      <c r="J1030" t="s">
        <v>19</v>
      </c>
      <c r="K1030" t="s">
        <v>383</v>
      </c>
      <c r="L1030">
        <f t="shared" si="16"/>
        <v>0.26137886776452168</v>
      </c>
    </row>
    <row r="1031" spans="1:12" x14ac:dyDescent="0.2">
      <c r="A1031">
        <v>1057</v>
      </c>
      <c r="B1031" t="s">
        <v>382</v>
      </c>
      <c r="C1031" t="s">
        <v>16</v>
      </c>
      <c r="D1031" s="1">
        <v>42004</v>
      </c>
      <c r="E1031" s="2">
        <v>7803446000</v>
      </c>
      <c r="F1031" s="2">
        <v>5649254000</v>
      </c>
      <c r="G1031" s="2">
        <v>1381396000</v>
      </c>
      <c r="H1031" t="s">
        <v>12</v>
      </c>
      <c r="I1031" t="s">
        <v>12</v>
      </c>
      <c r="J1031" t="s">
        <v>19</v>
      </c>
      <c r="K1031" t="s">
        <v>383</v>
      </c>
      <c r="L1031">
        <f t="shared" si="16"/>
        <v>0.27605650119190928</v>
      </c>
    </row>
    <row r="1032" spans="1:12" x14ac:dyDescent="0.2">
      <c r="A1032">
        <v>1058</v>
      </c>
      <c r="B1032" t="s">
        <v>382</v>
      </c>
      <c r="C1032" t="s">
        <v>17</v>
      </c>
      <c r="D1032" s="1">
        <v>42369</v>
      </c>
      <c r="E1032" s="2">
        <v>8071563000</v>
      </c>
      <c r="F1032" s="2">
        <v>5660877000</v>
      </c>
      <c r="G1032" s="2">
        <v>1573120000</v>
      </c>
      <c r="H1032" t="s">
        <v>12</v>
      </c>
      <c r="I1032" t="s">
        <v>12</v>
      </c>
      <c r="J1032" t="s">
        <v>19</v>
      </c>
      <c r="K1032" t="s">
        <v>383</v>
      </c>
      <c r="L1032">
        <f t="shared" si="16"/>
        <v>0.29866408773616704</v>
      </c>
    </row>
    <row r="1033" spans="1:12" x14ac:dyDescent="0.2">
      <c r="A1033">
        <v>1059</v>
      </c>
      <c r="B1033" t="s">
        <v>384</v>
      </c>
      <c r="C1033" t="s">
        <v>11</v>
      </c>
      <c r="D1033" s="1">
        <v>41274</v>
      </c>
      <c r="E1033" s="2">
        <v>3901300000</v>
      </c>
      <c r="F1033" s="2">
        <v>1503800000</v>
      </c>
      <c r="G1033" s="2">
        <v>1457300000</v>
      </c>
      <c r="H1033" s="2">
        <v>100100000</v>
      </c>
      <c r="I1033" t="s">
        <v>12</v>
      </c>
      <c r="J1033" t="s">
        <v>36</v>
      </c>
      <c r="K1033" t="s">
        <v>124</v>
      </c>
      <c r="L1033">
        <f t="shared" si="16"/>
        <v>0.61453874349575788</v>
      </c>
    </row>
    <row r="1034" spans="1:12" x14ac:dyDescent="0.2">
      <c r="A1034">
        <v>1060</v>
      </c>
      <c r="B1034" t="s">
        <v>384</v>
      </c>
      <c r="C1034" t="s">
        <v>15</v>
      </c>
      <c r="D1034" s="1">
        <v>41639</v>
      </c>
      <c r="E1034" s="2">
        <v>4200700000</v>
      </c>
      <c r="F1034" s="2">
        <v>1528500000</v>
      </c>
      <c r="G1034" s="2">
        <v>1548600000</v>
      </c>
      <c r="H1034" s="2">
        <v>100200000</v>
      </c>
      <c r="I1034" t="s">
        <v>12</v>
      </c>
      <c r="J1034" t="s">
        <v>36</v>
      </c>
      <c r="K1034" t="s">
        <v>124</v>
      </c>
      <c r="L1034">
        <f t="shared" si="16"/>
        <v>0.63613207322589094</v>
      </c>
    </row>
    <row r="1035" spans="1:12" x14ac:dyDescent="0.2">
      <c r="A1035">
        <v>1061</v>
      </c>
      <c r="B1035" t="s">
        <v>384</v>
      </c>
      <c r="C1035" t="s">
        <v>16</v>
      </c>
      <c r="D1035" s="1">
        <v>42004</v>
      </c>
      <c r="E1035" s="2">
        <v>4409300000</v>
      </c>
      <c r="F1035" s="2">
        <v>1700600000</v>
      </c>
      <c r="G1035" s="2">
        <v>1617600000</v>
      </c>
      <c r="H1035" s="2">
        <v>115100000</v>
      </c>
      <c r="I1035" t="s">
        <v>12</v>
      </c>
      <c r="J1035" t="s">
        <v>36</v>
      </c>
      <c r="K1035" t="s">
        <v>124</v>
      </c>
      <c r="L1035">
        <f t="shared" si="16"/>
        <v>0.61431519742362739</v>
      </c>
    </row>
    <row r="1036" spans="1:12" x14ac:dyDescent="0.2">
      <c r="A1036">
        <v>1062</v>
      </c>
      <c r="B1036" t="s">
        <v>384</v>
      </c>
      <c r="C1036" t="s">
        <v>17</v>
      </c>
      <c r="D1036" s="1">
        <v>42369</v>
      </c>
      <c r="E1036" s="2">
        <v>4071300000</v>
      </c>
      <c r="F1036" s="2">
        <v>1455300000</v>
      </c>
      <c r="G1036" s="2">
        <v>1532400000</v>
      </c>
      <c r="H1036" s="2">
        <v>108400000</v>
      </c>
      <c r="I1036" t="s">
        <v>12</v>
      </c>
      <c r="J1036" t="s">
        <v>36</v>
      </c>
      <c r="K1036" t="s">
        <v>124</v>
      </c>
      <c r="L1036">
        <f t="shared" si="16"/>
        <v>0.64254660673494945</v>
      </c>
    </row>
    <row r="1037" spans="1:12" x14ac:dyDescent="0.2">
      <c r="A1037">
        <v>1063</v>
      </c>
      <c r="B1037" t="s">
        <v>385</v>
      </c>
      <c r="C1037" t="s">
        <v>11</v>
      </c>
      <c r="D1037" s="1">
        <v>41608</v>
      </c>
      <c r="E1037" s="2">
        <v>4123400000</v>
      </c>
      <c r="F1037" s="2">
        <v>2457600000</v>
      </c>
      <c r="G1037" s="2">
        <v>1090300000</v>
      </c>
      <c r="H1037" t="s">
        <v>12</v>
      </c>
      <c r="I1037" t="s">
        <v>12</v>
      </c>
      <c r="J1037" t="s">
        <v>36</v>
      </c>
      <c r="K1037" t="s">
        <v>124</v>
      </c>
      <c r="L1037">
        <f t="shared" si="16"/>
        <v>0.40398700101857687</v>
      </c>
    </row>
    <row r="1038" spans="1:12" x14ac:dyDescent="0.2">
      <c r="A1038">
        <v>1064</v>
      </c>
      <c r="B1038" t="s">
        <v>385</v>
      </c>
      <c r="C1038" t="s">
        <v>15</v>
      </c>
      <c r="D1038" s="1">
        <v>41973</v>
      </c>
      <c r="E1038" s="2">
        <v>4243200000</v>
      </c>
      <c r="F1038" s="2">
        <v>2513000000</v>
      </c>
      <c r="G1038" s="2">
        <v>1122000000</v>
      </c>
      <c r="H1038" t="s">
        <v>12</v>
      </c>
      <c r="I1038" t="s">
        <v>12</v>
      </c>
      <c r="J1038" t="s">
        <v>36</v>
      </c>
      <c r="K1038" t="s">
        <v>124</v>
      </c>
      <c r="L1038">
        <f t="shared" si="16"/>
        <v>0.40775829562594268</v>
      </c>
    </row>
    <row r="1039" spans="1:12" x14ac:dyDescent="0.2">
      <c r="A1039">
        <v>1065</v>
      </c>
      <c r="B1039" t="s">
        <v>385</v>
      </c>
      <c r="C1039" t="s">
        <v>16</v>
      </c>
      <c r="D1039" s="1">
        <v>42338</v>
      </c>
      <c r="E1039" s="2">
        <v>4296300000</v>
      </c>
      <c r="F1039" s="2">
        <v>2559000000</v>
      </c>
      <c r="G1039" s="2">
        <v>1127400000</v>
      </c>
      <c r="H1039" t="s">
        <v>12</v>
      </c>
      <c r="I1039" t="s">
        <v>12</v>
      </c>
      <c r="J1039" t="s">
        <v>36</v>
      </c>
      <c r="K1039" t="s">
        <v>124</v>
      </c>
      <c r="L1039">
        <f t="shared" si="16"/>
        <v>0.40437120312827313</v>
      </c>
    </row>
    <row r="1040" spans="1:12" x14ac:dyDescent="0.2">
      <c r="A1040">
        <v>1066</v>
      </c>
      <c r="B1040" t="s">
        <v>385</v>
      </c>
      <c r="C1040" t="s">
        <v>17</v>
      </c>
      <c r="D1040" s="1">
        <v>42704</v>
      </c>
      <c r="E1040" s="2">
        <v>4411500000</v>
      </c>
      <c r="F1040" s="2">
        <v>2579800000</v>
      </c>
      <c r="G1040" s="2">
        <v>1175000000</v>
      </c>
      <c r="H1040" t="s">
        <v>12</v>
      </c>
      <c r="I1040" t="s">
        <v>12</v>
      </c>
      <c r="J1040" t="s">
        <v>36</v>
      </c>
      <c r="K1040" t="s">
        <v>124</v>
      </c>
      <c r="L1040">
        <f t="shared" si="16"/>
        <v>0.4152102459480902</v>
      </c>
    </row>
    <row r="1041" spans="1:12" x14ac:dyDescent="0.2">
      <c r="A1041">
        <v>1067</v>
      </c>
      <c r="B1041" t="s">
        <v>386</v>
      </c>
      <c r="C1041" t="s">
        <v>11</v>
      </c>
      <c r="D1041" s="1">
        <v>41274</v>
      </c>
      <c r="E1041" s="2">
        <v>2031901000</v>
      </c>
      <c r="F1041" s="2">
        <v>1704767000</v>
      </c>
      <c r="G1041" s="2">
        <v>135824000</v>
      </c>
      <c r="H1041" t="s">
        <v>12</v>
      </c>
      <c r="I1041" t="s">
        <v>12</v>
      </c>
      <c r="J1041" t="s">
        <v>59</v>
      </c>
      <c r="K1041" t="s">
        <v>387</v>
      </c>
      <c r="L1041">
        <f t="shared" si="16"/>
        <v>0.16099898567892823</v>
      </c>
    </row>
    <row r="1042" spans="1:12" x14ac:dyDescent="0.2">
      <c r="A1042">
        <v>1068</v>
      </c>
      <c r="B1042" t="s">
        <v>386</v>
      </c>
      <c r="C1042" t="s">
        <v>15</v>
      </c>
      <c r="D1042" s="1">
        <v>41639</v>
      </c>
      <c r="E1042" s="2">
        <v>2155551000</v>
      </c>
      <c r="F1042" s="2">
        <v>1791594000</v>
      </c>
      <c r="G1042" s="2">
        <v>145298000</v>
      </c>
      <c r="H1042" t="s">
        <v>12</v>
      </c>
      <c r="I1042" t="s">
        <v>12</v>
      </c>
      <c r="J1042" t="s">
        <v>59</v>
      </c>
      <c r="K1042" t="s">
        <v>387</v>
      </c>
      <c r="L1042">
        <f t="shared" si="16"/>
        <v>0.16884638776813909</v>
      </c>
    </row>
    <row r="1043" spans="1:12" x14ac:dyDescent="0.2">
      <c r="A1043">
        <v>1069</v>
      </c>
      <c r="B1043" t="s">
        <v>386</v>
      </c>
      <c r="C1043" t="s">
        <v>16</v>
      </c>
      <c r="D1043" s="1">
        <v>42004</v>
      </c>
      <c r="E1043" s="2">
        <v>2957951000</v>
      </c>
      <c r="F1043" s="2">
        <v>2435591000</v>
      </c>
      <c r="G1043" s="2">
        <v>164596000</v>
      </c>
      <c r="H1043" t="s">
        <v>12</v>
      </c>
      <c r="I1043" t="s">
        <v>12</v>
      </c>
      <c r="J1043" t="s">
        <v>59</v>
      </c>
      <c r="K1043" t="s">
        <v>387</v>
      </c>
      <c r="L1043">
        <f t="shared" si="16"/>
        <v>0.17659521743260786</v>
      </c>
    </row>
    <row r="1044" spans="1:12" x14ac:dyDescent="0.2">
      <c r="A1044">
        <v>1070</v>
      </c>
      <c r="B1044" t="s">
        <v>386</v>
      </c>
      <c r="C1044" t="s">
        <v>17</v>
      </c>
      <c r="D1044" s="1">
        <v>42369</v>
      </c>
      <c r="E1044" s="2">
        <v>3539570000</v>
      </c>
      <c r="F1044" s="2">
        <v>2817803000</v>
      </c>
      <c r="G1044" s="2">
        <v>233887000</v>
      </c>
      <c r="H1044" t="s">
        <v>12</v>
      </c>
      <c r="I1044" t="s">
        <v>12</v>
      </c>
      <c r="J1044" t="s">
        <v>59</v>
      </c>
      <c r="K1044" t="s">
        <v>387</v>
      </c>
      <c r="L1044">
        <f t="shared" si="16"/>
        <v>0.20391375223544106</v>
      </c>
    </row>
    <row r="1045" spans="1:12" x14ac:dyDescent="0.2">
      <c r="A1045">
        <v>1071</v>
      </c>
      <c r="B1045" t="s">
        <v>388</v>
      </c>
      <c r="C1045" t="s">
        <v>11</v>
      </c>
      <c r="D1045" s="1">
        <v>41274</v>
      </c>
      <c r="E1045" s="2">
        <v>11924000000</v>
      </c>
      <c r="F1045" t="s">
        <v>12</v>
      </c>
      <c r="G1045" s="2">
        <v>7134000000</v>
      </c>
      <c r="H1045" t="s">
        <v>12</v>
      </c>
      <c r="I1045" s="2">
        <v>2961000000</v>
      </c>
      <c r="J1045" t="s">
        <v>47</v>
      </c>
      <c r="K1045" t="s">
        <v>389</v>
      </c>
      <c r="L1045" t="e">
        <f t="shared" si="16"/>
        <v>#VALUE!</v>
      </c>
    </row>
    <row r="1046" spans="1:12" x14ac:dyDescent="0.2">
      <c r="A1046">
        <v>1072</v>
      </c>
      <c r="B1046" t="s">
        <v>388</v>
      </c>
      <c r="C1046" t="s">
        <v>15</v>
      </c>
      <c r="D1046" s="1">
        <v>41639</v>
      </c>
      <c r="E1046" s="2">
        <v>12261000000</v>
      </c>
      <c r="F1046" t="s">
        <v>12</v>
      </c>
      <c r="G1046" s="2">
        <v>7226000000</v>
      </c>
      <c r="H1046" t="s">
        <v>12</v>
      </c>
      <c r="I1046" s="2">
        <v>2958000000</v>
      </c>
      <c r="J1046" t="s">
        <v>47</v>
      </c>
      <c r="K1046" t="s">
        <v>389</v>
      </c>
      <c r="L1046" t="e">
        <f t="shared" si="16"/>
        <v>#VALUE!</v>
      </c>
    </row>
    <row r="1047" spans="1:12" x14ac:dyDescent="0.2">
      <c r="A1047">
        <v>1073</v>
      </c>
      <c r="B1047" t="s">
        <v>388</v>
      </c>
      <c r="C1047" t="s">
        <v>16</v>
      </c>
      <c r="D1047" s="1">
        <v>42004</v>
      </c>
      <c r="E1047" s="2">
        <v>12951000000</v>
      </c>
      <c r="F1047" t="s">
        <v>12</v>
      </c>
      <c r="G1047" s="2">
        <v>7515000000</v>
      </c>
      <c r="H1047" t="s">
        <v>12</v>
      </c>
      <c r="I1047" s="2">
        <v>3135000000</v>
      </c>
      <c r="J1047" t="s">
        <v>47</v>
      </c>
      <c r="K1047" t="s">
        <v>389</v>
      </c>
      <c r="L1047" t="e">
        <f t="shared" si="16"/>
        <v>#VALUE!</v>
      </c>
    </row>
    <row r="1048" spans="1:12" x14ac:dyDescent="0.2">
      <c r="A1048">
        <v>1074</v>
      </c>
      <c r="B1048" t="s">
        <v>388</v>
      </c>
      <c r="C1048" t="s">
        <v>17</v>
      </c>
      <c r="D1048" s="1">
        <v>42369</v>
      </c>
      <c r="E1048" s="2">
        <v>12893000000</v>
      </c>
      <c r="F1048" t="s">
        <v>12</v>
      </c>
      <c r="G1048" s="2">
        <v>7334000000</v>
      </c>
      <c r="H1048" t="s">
        <v>12</v>
      </c>
      <c r="I1048" s="2">
        <v>3140000000</v>
      </c>
      <c r="J1048" t="s">
        <v>47</v>
      </c>
      <c r="K1048" t="s">
        <v>389</v>
      </c>
      <c r="L1048" t="e">
        <f t="shared" si="16"/>
        <v>#VALUE!</v>
      </c>
    </row>
    <row r="1049" spans="1:12" x14ac:dyDescent="0.2">
      <c r="A1049">
        <v>1075</v>
      </c>
      <c r="B1049" t="s">
        <v>390</v>
      </c>
      <c r="C1049" t="s">
        <v>11</v>
      </c>
      <c r="D1049" s="1">
        <v>41639</v>
      </c>
      <c r="E1049" s="2">
        <v>30871000000</v>
      </c>
      <c r="F1049" s="2">
        <v>16106000000</v>
      </c>
      <c r="G1049" s="2">
        <v>6384000000</v>
      </c>
      <c r="H1049" s="2">
        <v>1715000000</v>
      </c>
      <c r="I1049" t="s">
        <v>12</v>
      </c>
      <c r="J1049" t="s">
        <v>13</v>
      </c>
      <c r="K1049" t="s">
        <v>164</v>
      </c>
      <c r="L1049">
        <f t="shared" si="16"/>
        <v>0.47828058695863429</v>
      </c>
    </row>
    <row r="1050" spans="1:12" x14ac:dyDescent="0.2">
      <c r="A1050">
        <v>1076</v>
      </c>
      <c r="B1050" t="s">
        <v>390</v>
      </c>
      <c r="C1050" t="s">
        <v>15</v>
      </c>
      <c r="D1050" s="1">
        <v>42004</v>
      </c>
      <c r="E1050" s="2">
        <v>31821000000</v>
      </c>
      <c r="F1050" s="2">
        <v>16447000000</v>
      </c>
      <c r="G1050" s="2">
        <v>6469000000</v>
      </c>
      <c r="H1050" s="2">
        <v>1770000000</v>
      </c>
      <c r="I1050" t="s">
        <v>12</v>
      </c>
      <c r="J1050" t="s">
        <v>13</v>
      </c>
      <c r="K1050" t="s">
        <v>164</v>
      </c>
      <c r="L1050">
        <f t="shared" si="16"/>
        <v>0.48314006473712323</v>
      </c>
    </row>
    <row r="1051" spans="1:12" x14ac:dyDescent="0.2">
      <c r="A1051">
        <v>1077</v>
      </c>
      <c r="B1051" t="s">
        <v>390</v>
      </c>
      <c r="C1051" t="s">
        <v>16</v>
      </c>
      <c r="D1051" s="1">
        <v>42369</v>
      </c>
      <c r="E1051" s="2">
        <v>30274000000</v>
      </c>
      <c r="F1051" s="2">
        <v>15383000000</v>
      </c>
      <c r="G1051" s="2">
        <v>6182000000</v>
      </c>
      <c r="H1051" s="2">
        <v>1763000000</v>
      </c>
      <c r="I1051" t="s">
        <v>12</v>
      </c>
      <c r="J1051" t="s">
        <v>13</v>
      </c>
      <c r="K1051" t="s">
        <v>164</v>
      </c>
      <c r="L1051">
        <f t="shared" si="16"/>
        <v>0.49187421549844756</v>
      </c>
    </row>
    <row r="1052" spans="1:12" x14ac:dyDescent="0.2">
      <c r="A1052">
        <v>1078</v>
      </c>
      <c r="B1052" t="s">
        <v>390</v>
      </c>
      <c r="C1052" t="s">
        <v>17</v>
      </c>
      <c r="D1052" s="1">
        <v>42735</v>
      </c>
      <c r="E1052" s="2">
        <v>30109000000</v>
      </c>
      <c r="F1052" s="2">
        <v>15040000000</v>
      </c>
      <c r="G1052" s="2">
        <v>6111000000</v>
      </c>
      <c r="H1052" s="2">
        <v>1735000000</v>
      </c>
      <c r="I1052" t="s">
        <v>12</v>
      </c>
      <c r="J1052" t="s">
        <v>13</v>
      </c>
      <c r="K1052" t="s">
        <v>164</v>
      </c>
      <c r="L1052">
        <f t="shared" si="16"/>
        <v>0.50048158357966055</v>
      </c>
    </row>
    <row r="1053" spans="1:12" x14ac:dyDescent="0.2">
      <c r="A1053">
        <v>1079</v>
      </c>
      <c r="B1053" t="s">
        <v>391</v>
      </c>
      <c r="C1053" t="s">
        <v>11</v>
      </c>
      <c r="D1053" s="1">
        <v>41274</v>
      </c>
      <c r="E1053" s="2">
        <v>2060702000</v>
      </c>
      <c r="F1053" s="2">
        <v>995046000</v>
      </c>
      <c r="G1053" t="s">
        <v>12</v>
      </c>
      <c r="H1053" t="s">
        <v>12</v>
      </c>
      <c r="I1053" t="s">
        <v>12</v>
      </c>
      <c r="J1053" t="s">
        <v>36</v>
      </c>
      <c r="K1053" t="s">
        <v>214</v>
      </c>
      <c r="L1053">
        <f t="shared" si="16"/>
        <v>0.51713251115396597</v>
      </c>
    </row>
    <row r="1054" spans="1:12" x14ac:dyDescent="0.2">
      <c r="A1054">
        <v>1080</v>
      </c>
      <c r="B1054" t="s">
        <v>391</v>
      </c>
      <c r="C1054" t="s">
        <v>15</v>
      </c>
      <c r="D1054" s="1">
        <v>41639</v>
      </c>
      <c r="E1054" s="2">
        <v>2246428000</v>
      </c>
      <c r="F1054" s="2">
        <v>1073497000</v>
      </c>
      <c r="G1054" t="s">
        <v>12</v>
      </c>
      <c r="H1054" t="s">
        <v>12</v>
      </c>
      <c r="I1054" t="s">
        <v>12</v>
      </c>
      <c r="J1054" t="s">
        <v>36</v>
      </c>
      <c r="K1054" t="s">
        <v>214</v>
      </c>
      <c r="L1054">
        <f t="shared" si="16"/>
        <v>0.52213157955652267</v>
      </c>
    </row>
    <row r="1055" spans="1:12" x14ac:dyDescent="0.2">
      <c r="A1055">
        <v>1081</v>
      </c>
      <c r="B1055" t="s">
        <v>391</v>
      </c>
      <c r="C1055" t="s">
        <v>16</v>
      </c>
      <c r="D1055" s="1">
        <v>42004</v>
      </c>
      <c r="E1055" s="2">
        <v>2464867000</v>
      </c>
      <c r="F1055" s="2">
        <v>1125057000</v>
      </c>
      <c r="G1055" t="s">
        <v>12</v>
      </c>
      <c r="H1055" t="s">
        <v>12</v>
      </c>
      <c r="I1055" t="s">
        <v>12</v>
      </c>
      <c r="J1055" t="s">
        <v>36</v>
      </c>
      <c r="K1055" t="s">
        <v>214</v>
      </c>
      <c r="L1055">
        <f t="shared" si="16"/>
        <v>0.54356279669450724</v>
      </c>
    </row>
    <row r="1056" spans="1:12" x14ac:dyDescent="0.2">
      <c r="A1056">
        <v>1082</v>
      </c>
      <c r="B1056" t="s">
        <v>391</v>
      </c>
      <c r="C1056" t="s">
        <v>17</v>
      </c>
      <c r="D1056" s="1">
        <v>42369</v>
      </c>
      <c r="E1056" s="2">
        <v>2722564000</v>
      </c>
      <c r="F1056" s="2">
        <v>1090263000</v>
      </c>
      <c r="G1056" t="s">
        <v>12</v>
      </c>
      <c r="H1056" t="s">
        <v>12</v>
      </c>
      <c r="I1056" t="s">
        <v>12</v>
      </c>
      <c r="J1056" t="s">
        <v>36</v>
      </c>
      <c r="K1056" t="s">
        <v>214</v>
      </c>
      <c r="L1056">
        <f t="shared" si="16"/>
        <v>0.59954550196065182</v>
      </c>
    </row>
    <row r="1057" spans="1:12" x14ac:dyDescent="0.2">
      <c r="A1057">
        <v>1083</v>
      </c>
      <c r="B1057" t="s">
        <v>392</v>
      </c>
      <c r="C1057" t="s">
        <v>11</v>
      </c>
      <c r="D1057" s="1">
        <v>41274</v>
      </c>
      <c r="E1057" s="2">
        <v>24618000000</v>
      </c>
      <c r="F1057" s="2">
        <v>15055000000</v>
      </c>
      <c r="G1057" s="2">
        <v>2249000000</v>
      </c>
      <c r="H1057" t="s">
        <v>12</v>
      </c>
      <c r="I1057" t="s">
        <v>12</v>
      </c>
      <c r="J1057" t="s">
        <v>36</v>
      </c>
      <c r="K1057" t="s">
        <v>393</v>
      </c>
      <c r="L1057">
        <f t="shared" si="16"/>
        <v>0.38845560159233083</v>
      </c>
    </row>
    <row r="1058" spans="1:12" x14ac:dyDescent="0.2">
      <c r="A1058">
        <v>1084</v>
      </c>
      <c r="B1058" t="s">
        <v>392</v>
      </c>
      <c r="C1058" t="s">
        <v>15</v>
      </c>
      <c r="D1058" s="1">
        <v>41639</v>
      </c>
      <c r="E1058" s="2">
        <v>24466000000</v>
      </c>
      <c r="F1058" s="2">
        <v>14009000000</v>
      </c>
      <c r="G1058" s="2">
        <v>2362000000</v>
      </c>
      <c r="H1058" t="s">
        <v>12</v>
      </c>
      <c r="I1058" t="s">
        <v>12</v>
      </c>
      <c r="J1058" t="s">
        <v>36</v>
      </c>
      <c r="K1058" t="s">
        <v>393</v>
      </c>
      <c r="L1058">
        <f t="shared" si="16"/>
        <v>0.42740946619798903</v>
      </c>
    </row>
    <row r="1059" spans="1:12" x14ac:dyDescent="0.2">
      <c r="A1059">
        <v>1085</v>
      </c>
      <c r="B1059" t="s">
        <v>392</v>
      </c>
      <c r="C1059" t="s">
        <v>16</v>
      </c>
      <c r="D1059" s="1">
        <v>42004</v>
      </c>
      <c r="E1059" s="2">
        <v>24522000000</v>
      </c>
      <c r="F1059" s="2">
        <v>14362000000</v>
      </c>
      <c r="G1059" s="2">
        <v>2541000000</v>
      </c>
      <c r="H1059" t="s">
        <v>12</v>
      </c>
      <c r="I1059" t="s">
        <v>12</v>
      </c>
      <c r="J1059" t="s">
        <v>36</v>
      </c>
      <c r="K1059" t="s">
        <v>393</v>
      </c>
      <c r="L1059">
        <f t="shared" si="16"/>
        <v>0.41432183345567242</v>
      </c>
    </row>
    <row r="1060" spans="1:12" x14ac:dyDescent="0.2">
      <c r="A1060">
        <v>1086</v>
      </c>
      <c r="B1060" t="s">
        <v>392</v>
      </c>
      <c r="C1060" t="s">
        <v>17</v>
      </c>
      <c r="D1060" s="1">
        <v>42369</v>
      </c>
      <c r="E1060" s="2">
        <v>25434000000</v>
      </c>
      <c r="F1060" s="2">
        <v>14320000000</v>
      </c>
      <c r="G1060" s="2">
        <v>2749000000</v>
      </c>
      <c r="H1060" t="s">
        <v>12</v>
      </c>
      <c r="I1060" t="s">
        <v>12</v>
      </c>
      <c r="J1060" t="s">
        <v>36</v>
      </c>
      <c r="K1060" t="s">
        <v>393</v>
      </c>
      <c r="L1060">
        <f t="shared" si="16"/>
        <v>0.43697412911850275</v>
      </c>
    </row>
    <row r="1061" spans="1:12" x14ac:dyDescent="0.2">
      <c r="A1061">
        <v>1087</v>
      </c>
      <c r="B1061" t="s">
        <v>394</v>
      </c>
      <c r="C1061" t="s">
        <v>11</v>
      </c>
      <c r="D1061" s="1">
        <v>41517</v>
      </c>
      <c r="E1061" s="2">
        <v>14861000000</v>
      </c>
      <c r="F1061" s="2">
        <v>7208000000</v>
      </c>
      <c r="G1061" s="2">
        <v>2550000000</v>
      </c>
      <c r="H1061" s="2">
        <v>1533000000</v>
      </c>
      <c r="I1061" t="s">
        <v>12</v>
      </c>
      <c r="J1061" t="s">
        <v>59</v>
      </c>
      <c r="K1061" t="s">
        <v>138</v>
      </c>
      <c r="L1061">
        <f t="shared" si="16"/>
        <v>0.51497207455756677</v>
      </c>
    </row>
    <row r="1062" spans="1:12" x14ac:dyDescent="0.2">
      <c r="A1062">
        <v>1088</v>
      </c>
      <c r="B1062" t="s">
        <v>394</v>
      </c>
      <c r="C1062" t="s">
        <v>15</v>
      </c>
      <c r="D1062" s="1">
        <v>41882</v>
      </c>
      <c r="E1062" s="2">
        <v>15855000000</v>
      </c>
      <c r="F1062" s="2">
        <v>7281000000</v>
      </c>
      <c r="G1062" s="2">
        <v>2774000000</v>
      </c>
      <c r="H1062" s="2">
        <v>1725000000</v>
      </c>
      <c r="I1062" t="s">
        <v>12</v>
      </c>
      <c r="J1062" t="s">
        <v>59</v>
      </c>
      <c r="K1062" t="s">
        <v>138</v>
      </c>
      <c r="L1062">
        <f t="shared" si="16"/>
        <v>0.54077578051087982</v>
      </c>
    </row>
    <row r="1063" spans="1:12" x14ac:dyDescent="0.2">
      <c r="A1063">
        <v>1089</v>
      </c>
      <c r="B1063" t="s">
        <v>394</v>
      </c>
      <c r="C1063" t="s">
        <v>16</v>
      </c>
      <c r="D1063" s="1">
        <v>42247</v>
      </c>
      <c r="E1063" s="2">
        <v>15001000000</v>
      </c>
      <c r="F1063" s="2">
        <v>6819000000</v>
      </c>
      <c r="G1063" s="2">
        <v>2686000000</v>
      </c>
      <c r="H1063" s="2">
        <v>1580000000</v>
      </c>
      <c r="I1063" t="s">
        <v>12</v>
      </c>
      <c r="J1063" t="s">
        <v>59</v>
      </c>
      <c r="K1063" t="s">
        <v>138</v>
      </c>
      <c r="L1063">
        <f t="shared" si="16"/>
        <v>0.54543030464635689</v>
      </c>
    </row>
    <row r="1064" spans="1:12" x14ac:dyDescent="0.2">
      <c r="A1064">
        <v>1090</v>
      </c>
      <c r="B1064" t="s">
        <v>394</v>
      </c>
      <c r="C1064" t="s">
        <v>17</v>
      </c>
      <c r="D1064" s="1">
        <v>42613</v>
      </c>
      <c r="E1064" s="2">
        <v>13502000000</v>
      </c>
      <c r="F1064" s="2">
        <v>6485000000</v>
      </c>
      <c r="G1064" s="2">
        <v>2833000000</v>
      </c>
      <c r="H1064" s="2">
        <v>1512000000</v>
      </c>
      <c r="I1064" t="s">
        <v>12</v>
      </c>
      <c r="J1064" t="s">
        <v>59</v>
      </c>
      <c r="K1064" t="s">
        <v>138</v>
      </c>
      <c r="L1064">
        <f t="shared" si="16"/>
        <v>0.51970078506887862</v>
      </c>
    </row>
    <row r="1065" spans="1:12" x14ac:dyDescent="0.2">
      <c r="A1065">
        <v>1091</v>
      </c>
      <c r="B1065" t="s">
        <v>395</v>
      </c>
      <c r="C1065" t="s">
        <v>11</v>
      </c>
      <c r="D1065" s="1">
        <v>41425</v>
      </c>
      <c r="E1065" s="2">
        <v>9974100000</v>
      </c>
      <c r="F1065" s="2">
        <v>7213900000</v>
      </c>
      <c r="G1065" s="2">
        <v>550600000</v>
      </c>
      <c r="H1065" t="s">
        <v>12</v>
      </c>
      <c r="I1065" t="s">
        <v>12</v>
      </c>
      <c r="J1065" t="s">
        <v>59</v>
      </c>
      <c r="K1065" t="s">
        <v>138</v>
      </c>
      <c r="L1065">
        <f t="shared" si="16"/>
        <v>0.27673674817778049</v>
      </c>
    </row>
    <row r="1066" spans="1:12" x14ac:dyDescent="0.2">
      <c r="A1066">
        <v>1092</v>
      </c>
      <c r="B1066" t="s">
        <v>395</v>
      </c>
      <c r="C1066" t="s">
        <v>15</v>
      </c>
      <c r="D1066" s="1">
        <v>42004</v>
      </c>
      <c r="E1066" s="2">
        <v>9055800000</v>
      </c>
      <c r="F1066" s="2">
        <v>7129200000</v>
      </c>
      <c r="G1066" s="2">
        <v>505800000</v>
      </c>
      <c r="H1066" t="s">
        <v>12</v>
      </c>
      <c r="I1066" t="s">
        <v>12</v>
      </c>
      <c r="J1066" t="s">
        <v>59</v>
      </c>
      <c r="K1066" t="s">
        <v>138</v>
      </c>
      <c r="L1066">
        <f t="shared" si="16"/>
        <v>0.21274763135228247</v>
      </c>
    </row>
    <row r="1067" spans="1:12" x14ac:dyDescent="0.2">
      <c r="A1067">
        <v>1093</v>
      </c>
      <c r="B1067" t="s">
        <v>395</v>
      </c>
      <c r="C1067" t="s">
        <v>16</v>
      </c>
      <c r="D1067" s="1">
        <v>42369</v>
      </c>
      <c r="E1067" s="2">
        <v>8895300000</v>
      </c>
      <c r="F1067" s="2">
        <v>7177400000</v>
      </c>
      <c r="G1067" s="2">
        <v>439100000</v>
      </c>
      <c r="H1067" t="s">
        <v>12</v>
      </c>
      <c r="I1067" t="s">
        <v>12</v>
      </c>
      <c r="J1067" t="s">
        <v>59</v>
      </c>
      <c r="K1067" t="s">
        <v>138</v>
      </c>
      <c r="L1067">
        <f t="shared" si="16"/>
        <v>0.1931244589839578</v>
      </c>
    </row>
    <row r="1068" spans="1:12" x14ac:dyDescent="0.2">
      <c r="A1068">
        <v>1094</v>
      </c>
      <c r="B1068" t="s">
        <v>395</v>
      </c>
      <c r="C1068" t="s">
        <v>17</v>
      </c>
      <c r="D1068" s="1">
        <v>42735</v>
      </c>
      <c r="E1068" s="2">
        <v>7162800000</v>
      </c>
      <c r="F1068" s="2">
        <v>6352800000</v>
      </c>
      <c r="G1068" s="2">
        <v>491000000</v>
      </c>
      <c r="H1068" t="s">
        <v>12</v>
      </c>
      <c r="I1068" t="s">
        <v>12</v>
      </c>
      <c r="J1068" t="s">
        <v>59</v>
      </c>
      <c r="K1068" t="s">
        <v>138</v>
      </c>
      <c r="L1068">
        <f t="shared" si="16"/>
        <v>0.11308426872172894</v>
      </c>
    </row>
    <row r="1069" spans="1:12" x14ac:dyDescent="0.2">
      <c r="A1069">
        <v>1095</v>
      </c>
      <c r="B1069" t="s">
        <v>396</v>
      </c>
      <c r="C1069" t="s">
        <v>11</v>
      </c>
      <c r="D1069" s="1">
        <v>41274</v>
      </c>
      <c r="E1069" s="2">
        <v>82243000000</v>
      </c>
      <c r="F1069" s="2">
        <v>68948000000</v>
      </c>
      <c r="G1069" s="2">
        <v>7202000000</v>
      </c>
      <c r="H1069" t="s">
        <v>12</v>
      </c>
      <c r="I1069" s="2">
        <v>995000000</v>
      </c>
      <c r="J1069" t="s">
        <v>83</v>
      </c>
      <c r="K1069" t="s">
        <v>341</v>
      </c>
      <c r="L1069">
        <f t="shared" si="16"/>
        <v>0.16165509526646649</v>
      </c>
    </row>
    <row r="1070" spans="1:12" x14ac:dyDescent="0.2">
      <c r="A1070">
        <v>1096</v>
      </c>
      <c r="B1070" t="s">
        <v>396</v>
      </c>
      <c r="C1070" t="s">
        <v>15</v>
      </c>
      <c r="D1070" s="1">
        <v>41639</v>
      </c>
      <c r="E1070" s="2">
        <v>100160000000</v>
      </c>
      <c r="F1070" s="2">
        <v>87758000000</v>
      </c>
      <c r="G1070" s="2">
        <v>7851000000</v>
      </c>
      <c r="H1070" t="s">
        <v>12</v>
      </c>
      <c r="I1070" s="2">
        <v>1220000000</v>
      </c>
      <c r="J1070" t="s">
        <v>83</v>
      </c>
      <c r="K1070" t="s">
        <v>341</v>
      </c>
      <c r="L1070">
        <f t="shared" si="16"/>
        <v>0.12382188498402558</v>
      </c>
    </row>
    <row r="1071" spans="1:12" x14ac:dyDescent="0.2">
      <c r="A1071">
        <v>1097</v>
      </c>
      <c r="B1071" t="s">
        <v>396</v>
      </c>
      <c r="C1071" t="s">
        <v>16</v>
      </c>
      <c r="D1071" s="1">
        <v>42004</v>
      </c>
      <c r="E1071" s="2">
        <v>97817000000</v>
      </c>
      <c r="F1071" s="2">
        <v>84275000000</v>
      </c>
      <c r="G1071" s="2">
        <v>8450000000</v>
      </c>
      <c r="H1071" t="s">
        <v>12</v>
      </c>
      <c r="I1071" s="2">
        <v>1326000000</v>
      </c>
      <c r="J1071" t="s">
        <v>83</v>
      </c>
      <c r="K1071" t="s">
        <v>341</v>
      </c>
      <c r="L1071">
        <f t="shared" si="16"/>
        <v>0.13844219307482342</v>
      </c>
    </row>
    <row r="1072" spans="1:12" x14ac:dyDescent="0.2">
      <c r="A1072">
        <v>1098</v>
      </c>
      <c r="B1072" t="s">
        <v>396</v>
      </c>
      <c r="C1072" t="s">
        <v>17</v>
      </c>
      <c r="D1072" s="1">
        <v>42369</v>
      </c>
      <c r="E1072" s="2">
        <v>72051000000</v>
      </c>
      <c r="F1072" s="2">
        <v>55891000000</v>
      </c>
      <c r="G1072" s="2">
        <v>10029000000</v>
      </c>
      <c r="H1072" t="s">
        <v>12</v>
      </c>
      <c r="I1072" s="2">
        <v>1646000000</v>
      </c>
      <c r="J1072" t="s">
        <v>83</v>
      </c>
      <c r="K1072" t="s">
        <v>341</v>
      </c>
      <c r="L1072">
        <f t="shared" si="16"/>
        <v>0.22428557549513539</v>
      </c>
    </row>
    <row r="1073" spans="1:12" x14ac:dyDescent="0.2">
      <c r="A1073">
        <v>1099</v>
      </c>
      <c r="B1073" t="s">
        <v>397</v>
      </c>
      <c r="C1073" t="s">
        <v>11</v>
      </c>
      <c r="D1073" s="1">
        <v>41274</v>
      </c>
      <c r="E1073" s="2">
        <v>47267000000</v>
      </c>
      <c r="F1073" s="2">
        <v>16446000000</v>
      </c>
      <c r="G1073" s="2">
        <v>12776000000</v>
      </c>
      <c r="H1073" s="2">
        <v>8168000000</v>
      </c>
      <c r="I1073" t="s">
        <v>12</v>
      </c>
      <c r="J1073" t="s">
        <v>25</v>
      </c>
      <c r="K1073" t="s">
        <v>26</v>
      </c>
      <c r="L1073">
        <f t="shared" si="16"/>
        <v>0.65206169208961851</v>
      </c>
    </row>
    <row r="1074" spans="1:12" x14ac:dyDescent="0.2">
      <c r="A1074">
        <v>1100</v>
      </c>
      <c r="B1074" t="s">
        <v>397</v>
      </c>
      <c r="C1074" t="s">
        <v>15</v>
      </c>
      <c r="D1074" s="1">
        <v>41639</v>
      </c>
      <c r="E1074" s="2">
        <v>44033000000</v>
      </c>
      <c r="F1074" s="2">
        <v>16954000000</v>
      </c>
      <c r="G1074" s="2">
        <v>11911000000</v>
      </c>
      <c r="H1074" s="2">
        <v>7503000000</v>
      </c>
      <c r="I1074" t="s">
        <v>12</v>
      </c>
      <c r="J1074" t="s">
        <v>25</v>
      </c>
      <c r="K1074" t="s">
        <v>26</v>
      </c>
      <c r="L1074">
        <f t="shared" si="16"/>
        <v>0.6149705902391388</v>
      </c>
    </row>
    <row r="1075" spans="1:12" x14ac:dyDescent="0.2">
      <c r="A1075">
        <v>1101</v>
      </c>
      <c r="B1075" t="s">
        <v>397</v>
      </c>
      <c r="C1075" t="s">
        <v>16</v>
      </c>
      <c r="D1075" s="1">
        <v>42004</v>
      </c>
      <c r="E1075" s="2">
        <v>42237000000</v>
      </c>
      <c r="F1075" s="2">
        <v>16768000000</v>
      </c>
      <c r="G1075" s="2">
        <v>11606000000</v>
      </c>
      <c r="H1075" s="2">
        <v>7180000000</v>
      </c>
      <c r="I1075" t="s">
        <v>12</v>
      </c>
      <c r="J1075" t="s">
        <v>25</v>
      </c>
      <c r="K1075" t="s">
        <v>26</v>
      </c>
      <c r="L1075">
        <f t="shared" si="16"/>
        <v>0.60300210715723179</v>
      </c>
    </row>
    <row r="1076" spans="1:12" x14ac:dyDescent="0.2">
      <c r="A1076">
        <v>1102</v>
      </c>
      <c r="B1076" t="s">
        <v>397</v>
      </c>
      <c r="C1076" t="s">
        <v>17</v>
      </c>
      <c r="D1076" s="1">
        <v>42369</v>
      </c>
      <c r="E1076" s="2">
        <v>39498000000</v>
      </c>
      <c r="F1076" s="2">
        <v>14934000000</v>
      </c>
      <c r="G1076" s="2">
        <v>10313000000</v>
      </c>
      <c r="H1076" s="2">
        <v>6704000000</v>
      </c>
      <c r="I1076" t="s">
        <v>12</v>
      </c>
      <c r="J1076" t="s">
        <v>25</v>
      </c>
      <c r="K1076" t="s">
        <v>26</v>
      </c>
      <c r="L1076">
        <f t="shared" si="16"/>
        <v>0.62190490657754816</v>
      </c>
    </row>
    <row r="1077" spans="1:12" x14ac:dyDescent="0.2">
      <c r="A1077">
        <v>1103</v>
      </c>
      <c r="B1077" t="s">
        <v>398</v>
      </c>
      <c r="C1077" t="s">
        <v>11</v>
      </c>
      <c r="D1077" s="1">
        <v>41274</v>
      </c>
      <c r="E1077" s="2">
        <v>11966000000</v>
      </c>
      <c r="F1077" s="2">
        <v>2079000000</v>
      </c>
      <c r="G1077" s="2">
        <v>4017000000</v>
      </c>
      <c r="H1077" t="s">
        <v>12</v>
      </c>
      <c r="I1077" s="2">
        <v>2008000000</v>
      </c>
      <c r="J1077" t="s">
        <v>83</v>
      </c>
      <c r="K1077" t="s">
        <v>84</v>
      </c>
      <c r="L1077">
        <f t="shared" si="16"/>
        <v>0.82625773023566773</v>
      </c>
    </row>
    <row r="1078" spans="1:12" x14ac:dyDescent="0.2">
      <c r="A1078">
        <v>1104</v>
      </c>
      <c r="B1078" t="s">
        <v>398</v>
      </c>
      <c r="C1078" t="s">
        <v>15</v>
      </c>
      <c r="D1078" s="1">
        <v>41639</v>
      </c>
      <c r="E1078" s="2">
        <v>11325000000</v>
      </c>
      <c r="F1078" s="2">
        <v>2156000000</v>
      </c>
      <c r="G1078" s="2">
        <v>3469000000</v>
      </c>
      <c r="H1078" t="s">
        <v>12</v>
      </c>
      <c r="I1078" s="2">
        <v>2500000000</v>
      </c>
      <c r="J1078" t="s">
        <v>83</v>
      </c>
      <c r="K1078" t="s">
        <v>84</v>
      </c>
      <c r="L1078">
        <f t="shared" si="16"/>
        <v>0.80962472406181019</v>
      </c>
    </row>
    <row r="1079" spans="1:12" x14ac:dyDescent="0.2">
      <c r="A1079">
        <v>1105</v>
      </c>
      <c r="B1079" t="s">
        <v>398</v>
      </c>
      <c r="C1079" t="s">
        <v>16</v>
      </c>
      <c r="D1079" s="1">
        <v>42004</v>
      </c>
      <c r="E1079" s="2">
        <v>10846000000</v>
      </c>
      <c r="F1079" s="2">
        <v>2246000000</v>
      </c>
      <c r="G1079" s="2">
        <v>3627000000</v>
      </c>
      <c r="H1079" t="s">
        <v>12</v>
      </c>
      <c r="I1079" s="2">
        <v>2861000000</v>
      </c>
      <c r="J1079" t="s">
        <v>83</v>
      </c>
      <c r="K1079" t="s">
        <v>84</v>
      </c>
      <c r="L1079">
        <f t="shared" si="16"/>
        <v>0.79291904849714179</v>
      </c>
    </row>
    <row r="1080" spans="1:12" x14ac:dyDescent="0.2">
      <c r="A1080">
        <v>1106</v>
      </c>
      <c r="B1080" t="s">
        <v>398</v>
      </c>
      <c r="C1080" t="s">
        <v>17</v>
      </c>
      <c r="D1080" s="1">
        <v>42369</v>
      </c>
      <c r="E1080" s="2">
        <v>5522000000</v>
      </c>
      <c r="F1080" s="2">
        <v>1694000000</v>
      </c>
      <c r="G1080" s="2">
        <v>1831000000</v>
      </c>
      <c r="H1080" t="s">
        <v>12</v>
      </c>
      <c r="I1080" s="2">
        <v>2957000000</v>
      </c>
      <c r="J1080" t="s">
        <v>83</v>
      </c>
      <c r="K1080" t="s">
        <v>84</v>
      </c>
      <c r="L1080">
        <f t="shared" si="16"/>
        <v>0.69322709163346619</v>
      </c>
    </row>
    <row r="1081" spans="1:12" x14ac:dyDescent="0.2">
      <c r="A1081">
        <v>1107</v>
      </c>
      <c r="B1081" t="s">
        <v>399</v>
      </c>
      <c r="C1081" t="s">
        <v>11</v>
      </c>
      <c r="D1081" s="1">
        <v>41455</v>
      </c>
      <c r="E1081" s="2">
        <v>77849000000</v>
      </c>
      <c r="F1081" s="2">
        <v>20385000000</v>
      </c>
      <c r="G1081" s="2">
        <v>20289000000</v>
      </c>
      <c r="H1081" s="2">
        <v>10411000000</v>
      </c>
      <c r="I1081" t="s">
        <v>12</v>
      </c>
      <c r="J1081" t="s">
        <v>22</v>
      </c>
      <c r="K1081" t="s">
        <v>400</v>
      </c>
      <c r="L1081">
        <f t="shared" si="16"/>
        <v>0.73814692545825888</v>
      </c>
    </row>
    <row r="1082" spans="1:12" x14ac:dyDescent="0.2">
      <c r="A1082">
        <v>1108</v>
      </c>
      <c r="B1082" t="s">
        <v>399</v>
      </c>
      <c r="C1082" t="s">
        <v>15</v>
      </c>
      <c r="D1082" s="1">
        <v>41820</v>
      </c>
      <c r="E1082" s="2">
        <v>86833000000</v>
      </c>
      <c r="F1082" s="2">
        <v>27078000000</v>
      </c>
      <c r="G1082" s="2">
        <v>20488000000</v>
      </c>
      <c r="H1082" s="2">
        <v>11381000000</v>
      </c>
      <c r="I1082" t="s">
        <v>12</v>
      </c>
      <c r="J1082" t="s">
        <v>22</v>
      </c>
      <c r="K1082" t="s">
        <v>400</v>
      </c>
      <c r="L1082">
        <f t="shared" si="16"/>
        <v>0.68816003132449644</v>
      </c>
    </row>
    <row r="1083" spans="1:12" x14ac:dyDescent="0.2">
      <c r="A1083">
        <v>1109</v>
      </c>
      <c r="B1083" t="s">
        <v>399</v>
      </c>
      <c r="C1083" t="s">
        <v>16</v>
      </c>
      <c r="D1083" s="1">
        <v>42185</v>
      </c>
      <c r="E1083" s="2">
        <v>93580000000</v>
      </c>
      <c r="F1083" s="2">
        <v>33038000000</v>
      </c>
      <c r="G1083" s="2">
        <v>20324000000</v>
      </c>
      <c r="H1083" s="2">
        <v>12046000000</v>
      </c>
      <c r="I1083" t="s">
        <v>12</v>
      </c>
      <c r="J1083" t="s">
        <v>22</v>
      </c>
      <c r="K1083" t="s">
        <v>400</v>
      </c>
      <c r="L1083">
        <f t="shared" si="16"/>
        <v>0.64695447745244716</v>
      </c>
    </row>
    <row r="1084" spans="1:12" x14ac:dyDescent="0.2">
      <c r="A1084">
        <v>1110</v>
      </c>
      <c r="B1084" t="s">
        <v>399</v>
      </c>
      <c r="C1084" t="s">
        <v>17</v>
      </c>
      <c r="D1084" s="1">
        <v>42551</v>
      </c>
      <c r="E1084" s="2">
        <v>85320000000</v>
      </c>
      <c r="F1084" s="2">
        <v>32780000000</v>
      </c>
      <c r="G1084" s="2">
        <v>19260000000</v>
      </c>
      <c r="H1084" s="2">
        <v>11988000000</v>
      </c>
      <c r="I1084" t="s">
        <v>12</v>
      </c>
      <c r="J1084" t="s">
        <v>22</v>
      </c>
      <c r="K1084" t="s">
        <v>400</v>
      </c>
      <c r="L1084">
        <f t="shared" si="16"/>
        <v>0.61579934364744493</v>
      </c>
    </row>
    <row r="1085" spans="1:12" x14ac:dyDescent="0.2">
      <c r="A1085">
        <v>1111</v>
      </c>
      <c r="B1085" t="s">
        <v>401</v>
      </c>
      <c r="C1085" t="s">
        <v>11</v>
      </c>
      <c r="D1085" s="1">
        <v>41274</v>
      </c>
      <c r="E1085" s="2">
        <v>4608955000</v>
      </c>
      <c r="F1085" s="2">
        <v>116586000</v>
      </c>
      <c r="G1085" s="2">
        <v>2448629000</v>
      </c>
      <c r="H1085" t="s">
        <v>12</v>
      </c>
      <c r="I1085" s="2">
        <v>264631000</v>
      </c>
      <c r="J1085" t="s">
        <v>47</v>
      </c>
      <c r="K1085" t="s">
        <v>105</v>
      </c>
      <c r="L1085">
        <f t="shared" si="16"/>
        <v>0.97470446120649912</v>
      </c>
    </row>
    <row r="1086" spans="1:12" x14ac:dyDescent="0.2">
      <c r="A1086">
        <v>1112</v>
      </c>
      <c r="B1086" t="s">
        <v>401</v>
      </c>
      <c r="C1086" t="s">
        <v>15</v>
      </c>
      <c r="D1086" s="1">
        <v>41639</v>
      </c>
      <c r="E1086" s="2">
        <v>4822539000</v>
      </c>
      <c r="F1086" s="2">
        <v>83692000</v>
      </c>
      <c r="G1086" s="2">
        <v>2540954000</v>
      </c>
      <c r="H1086" t="s">
        <v>12</v>
      </c>
      <c r="I1086" s="2">
        <v>231912000</v>
      </c>
      <c r="J1086" t="s">
        <v>47</v>
      </c>
      <c r="K1086" t="s">
        <v>105</v>
      </c>
      <c r="L1086">
        <f t="shared" si="16"/>
        <v>0.98264565615747224</v>
      </c>
    </row>
    <row r="1087" spans="1:12" x14ac:dyDescent="0.2">
      <c r="A1087">
        <v>1113</v>
      </c>
      <c r="B1087" t="s">
        <v>401</v>
      </c>
      <c r="C1087" t="s">
        <v>16</v>
      </c>
      <c r="D1087" s="1">
        <v>42004</v>
      </c>
      <c r="E1087" s="2">
        <v>4736150000</v>
      </c>
      <c r="F1087" s="2">
        <v>63083000</v>
      </c>
      <c r="G1087" s="2">
        <v>2655650000</v>
      </c>
      <c r="H1087" t="s">
        <v>12</v>
      </c>
      <c r="I1087" s="2">
        <v>157824000</v>
      </c>
      <c r="J1087" t="s">
        <v>47</v>
      </c>
      <c r="K1087" t="s">
        <v>105</v>
      </c>
      <c r="L1087">
        <f t="shared" si="16"/>
        <v>0.98668053165545855</v>
      </c>
    </row>
    <row r="1088" spans="1:12" x14ac:dyDescent="0.2">
      <c r="A1088">
        <v>1114</v>
      </c>
      <c r="B1088" t="s">
        <v>401</v>
      </c>
      <c r="C1088" t="s">
        <v>17</v>
      </c>
      <c r="D1088" s="1">
        <v>42369</v>
      </c>
      <c r="E1088" s="2">
        <v>4995881000</v>
      </c>
      <c r="F1088" s="2">
        <v>73814000</v>
      </c>
      <c r="G1088" s="2">
        <v>2796508000</v>
      </c>
      <c r="H1088" t="s">
        <v>12</v>
      </c>
      <c r="I1088" s="2">
        <v>196424000</v>
      </c>
      <c r="J1088" t="s">
        <v>47</v>
      </c>
      <c r="K1088" t="s">
        <v>105</v>
      </c>
      <c r="L1088">
        <f t="shared" si="16"/>
        <v>0.98522502837837811</v>
      </c>
    </row>
    <row r="1089" spans="1:12" x14ac:dyDescent="0.2">
      <c r="A1089">
        <v>1115</v>
      </c>
      <c r="B1089" t="s">
        <v>402</v>
      </c>
      <c r="C1089" t="s">
        <v>11</v>
      </c>
      <c r="D1089" s="1">
        <v>41639</v>
      </c>
      <c r="E1089" s="2">
        <v>2378972000</v>
      </c>
      <c r="F1089" s="2">
        <v>1097041000</v>
      </c>
      <c r="G1089" s="2">
        <v>692693000</v>
      </c>
      <c r="H1089" s="2">
        <v>116346000</v>
      </c>
      <c r="I1089" s="2">
        <v>24539000</v>
      </c>
      <c r="J1089" t="s">
        <v>25</v>
      </c>
      <c r="K1089" t="s">
        <v>318</v>
      </c>
      <c r="L1089">
        <f t="shared" si="16"/>
        <v>0.53885922154611321</v>
      </c>
    </row>
    <row r="1090" spans="1:12" x14ac:dyDescent="0.2">
      <c r="A1090">
        <v>1116</v>
      </c>
      <c r="B1090" t="s">
        <v>402</v>
      </c>
      <c r="C1090" t="s">
        <v>15</v>
      </c>
      <c r="D1090" s="1">
        <v>42004</v>
      </c>
      <c r="E1090" s="2">
        <v>2485983000</v>
      </c>
      <c r="F1090" s="2">
        <v>1127233000</v>
      </c>
      <c r="G1090" s="2">
        <v>728582000</v>
      </c>
      <c r="H1090" s="2">
        <v>123297000</v>
      </c>
      <c r="I1090" s="2">
        <v>29185000</v>
      </c>
      <c r="J1090" t="s">
        <v>25</v>
      </c>
      <c r="K1090" t="s">
        <v>318</v>
      </c>
      <c r="L1090">
        <f t="shared" si="16"/>
        <v>0.54656447771364491</v>
      </c>
    </row>
    <row r="1091" spans="1:12" x14ac:dyDescent="0.2">
      <c r="A1091">
        <v>1117</v>
      </c>
      <c r="B1091" t="s">
        <v>402</v>
      </c>
      <c r="C1091" t="s">
        <v>16</v>
      </c>
      <c r="D1091" s="1">
        <v>42369</v>
      </c>
      <c r="E1091" s="2">
        <v>2395447000</v>
      </c>
      <c r="F1091" s="2">
        <v>1043454000</v>
      </c>
      <c r="G1091" s="2">
        <v>700810000</v>
      </c>
      <c r="H1091" s="2">
        <v>119076000</v>
      </c>
      <c r="I1091" s="2">
        <v>30951000</v>
      </c>
      <c r="J1091" t="s">
        <v>25</v>
      </c>
      <c r="K1091" t="s">
        <v>318</v>
      </c>
      <c r="L1091">
        <f t="shared" ref="L1091:L1154" si="17">1-F1091/E1091</f>
        <v>0.56440113264872904</v>
      </c>
    </row>
    <row r="1092" spans="1:12" x14ac:dyDescent="0.2">
      <c r="A1092">
        <v>1118</v>
      </c>
      <c r="B1092" t="s">
        <v>402</v>
      </c>
      <c r="C1092" t="s">
        <v>17</v>
      </c>
      <c r="D1092" s="1">
        <v>42735</v>
      </c>
      <c r="E1092" s="2">
        <v>2508257000</v>
      </c>
      <c r="F1092" s="2">
        <v>1072670000</v>
      </c>
      <c r="G1092" s="2">
        <v>732622000</v>
      </c>
      <c r="H1092" s="2">
        <v>119968000</v>
      </c>
      <c r="I1092" s="2">
        <v>36052000</v>
      </c>
      <c r="J1092" t="s">
        <v>25</v>
      </c>
      <c r="K1092" t="s">
        <v>318</v>
      </c>
      <c r="L1092">
        <f t="shared" si="17"/>
        <v>0.57234446071514999</v>
      </c>
    </row>
    <row r="1093" spans="1:12" x14ac:dyDescent="0.2">
      <c r="A1093">
        <v>1119</v>
      </c>
      <c r="B1093" t="s">
        <v>403</v>
      </c>
      <c r="C1093" t="s">
        <v>11</v>
      </c>
      <c r="D1093" s="1">
        <v>41515</v>
      </c>
      <c r="E1093" s="2">
        <v>9073000000</v>
      </c>
      <c r="F1093" s="2">
        <v>7226000000</v>
      </c>
      <c r="G1093" s="2">
        <v>554000000</v>
      </c>
      <c r="H1093" s="2">
        <v>931000000</v>
      </c>
      <c r="I1093" t="s">
        <v>12</v>
      </c>
      <c r="J1093" t="s">
        <v>22</v>
      </c>
      <c r="K1093" t="s">
        <v>34</v>
      </c>
      <c r="L1093">
        <f t="shared" si="17"/>
        <v>0.20357103493882944</v>
      </c>
    </row>
    <row r="1094" spans="1:12" x14ac:dyDescent="0.2">
      <c r="A1094">
        <v>1120</v>
      </c>
      <c r="B1094" t="s">
        <v>403</v>
      </c>
      <c r="C1094" t="s">
        <v>15</v>
      </c>
      <c r="D1094" s="1">
        <v>41879</v>
      </c>
      <c r="E1094" s="2">
        <v>16358000000</v>
      </c>
      <c r="F1094" s="2">
        <v>10921000000</v>
      </c>
      <c r="G1094" s="2">
        <v>939000000</v>
      </c>
      <c r="H1094" s="2">
        <v>1371000000</v>
      </c>
      <c r="I1094" t="s">
        <v>12</v>
      </c>
      <c r="J1094" t="s">
        <v>22</v>
      </c>
      <c r="K1094" t="s">
        <v>34</v>
      </c>
      <c r="L1094">
        <f t="shared" si="17"/>
        <v>0.33237559603863553</v>
      </c>
    </row>
    <row r="1095" spans="1:12" x14ac:dyDescent="0.2">
      <c r="A1095">
        <v>1121</v>
      </c>
      <c r="B1095" t="s">
        <v>403</v>
      </c>
      <c r="C1095" t="s">
        <v>16</v>
      </c>
      <c r="D1095" s="1">
        <v>42250</v>
      </c>
      <c r="E1095" s="2">
        <v>16192000000</v>
      </c>
      <c r="F1095" s="2">
        <v>10977000000</v>
      </c>
      <c r="G1095" s="2">
        <v>674000000</v>
      </c>
      <c r="H1095" s="2">
        <v>1540000000</v>
      </c>
      <c r="I1095" t="s">
        <v>12</v>
      </c>
      <c r="J1095" t="s">
        <v>22</v>
      </c>
      <c r="K1095" t="s">
        <v>34</v>
      </c>
      <c r="L1095">
        <f t="shared" si="17"/>
        <v>0.32207262845849804</v>
      </c>
    </row>
    <row r="1096" spans="1:12" x14ac:dyDescent="0.2">
      <c r="A1096">
        <v>1122</v>
      </c>
      <c r="B1096" t="s">
        <v>403</v>
      </c>
      <c r="C1096" t="s">
        <v>17</v>
      </c>
      <c r="D1096" s="1">
        <v>42614</v>
      </c>
      <c r="E1096" s="2">
        <v>12399000000</v>
      </c>
      <c r="F1096" s="2">
        <v>9894000000</v>
      </c>
      <c r="G1096" s="2">
        <v>653000000</v>
      </c>
      <c r="H1096" s="2">
        <v>1617000000</v>
      </c>
      <c r="I1096" t="s">
        <v>12</v>
      </c>
      <c r="J1096" t="s">
        <v>22</v>
      </c>
      <c r="K1096" t="s">
        <v>34</v>
      </c>
      <c r="L1096">
        <f t="shared" si="17"/>
        <v>0.20203242196951365</v>
      </c>
    </row>
    <row r="1097" spans="1:12" x14ac:dyDescent="0.2">
      <c r="A1097">
        <v>1123</v>
      </c>
      <c r="B1097" t="s">
        <v>404</v>
      </c>
      <c r="C1097" t="s">
        <v>11</v>
      </c>
      <c r="D1097" s="1">
        <v>41274</v>
      </c>
      <c r="E1097" s="2">
        <v>4608563000</v>
      </c>
      <c r="F1097" s="2">
        <v>1079136000</v>
      </c>
      <c r="G1097" s="2">
        <v>285144000</v>
      </c>
      <c r="H1097" t="s">
        <v>12</v>
      </c>
      <c r="I1097" s="2">
        <v>1291456000</v>
      </c>
      <c r="J1097" t="s">
        <v>83</v>
      </c>
      <c r="K1097" t="s">
        <v>144</v>
      </c>
      <c r="L1097">
        <f t="shared" si="17"/>
        <v>0.76584110925683335</v>
      </c>
    </row>
    <row r="1098" spans="1:12" x14ac:dyDescent="0.2">
      <c r="A1098">
        <v>1124</v>
      </c>
      <c r="B1098" t="s">
        <v>404</v>
      </c>
      <c r="C1098" t="s">
        <v>15</v>
      </c>
      <c r="D1098" s="1">
        <v>41639</v>
      </c>
      <c r="E1098" s="2">
        <v>5312686000</v>
      </c>
      <c r="F1098" s="2">
        <v>1252812000</v>
      </c>
      <c r="G1098" s="2">
        <v>466498000</v>
      </c>
      <c r="H1098" t="s">
        <v>12</v>
      </c>
      <c r="I1098" s="2">
        <v>1602390000</v>
      </c>
      <c r="J1098" t="s">
        <v>83</v>
      </c>
      <c r="K1098" t="s">
        <v>144</v>
      </c>
      <c r="L1098">
        <f t="shared" si="17"/>
        <v>0.76418482101144314</v>
      </c>
    </row>
    <row r="1099" spans="1:12" x14ac:dyDescent="0.2">
      <c r="A1099">
        <v>1125</v>
      </c>
      <c r="B1099" t="s">
        <v>404</v>
      </c>
      <c r="C1099" t="s">
        <v>16</v>
      </c>
      <c r="D1099" s="1">
        <v>42004</v>
      </c>
      <c r="E1099" s="2">
        <v>5288933000</v>
      </c>
      <c r="F1099" s="2">
        <v>1089888000</v>
      </c>
      <c r="G1099" s="2">
        <v>471219000</v>
      </c>
      <c r="H1099" t="s">
        <v>12</v>
      </c>
      <c r="I1099" s="2">
        <v>1957025000</v>
      </c>
      <c r="J1099" t="s">
        <v>83</v>
      </c>
      <c r="K1099" t="s">
        <v>144</v>
      </c>
      <c r="L1099">
        <f t="shared" si="17"/>
        <v>0.79393045818504415</v>
      </c>
    </row>
    <row r="1100" spans="1:12" x14ac:dyDescent="0.2">
      <c r="A1100">
        <v>1126</v>
      </c>
      <c r="B1100" t="s">
        <v>404</v>
      </c>
      <c r="C1100" t="s">
        <v>17</v>
      </c>
      <c r="D1100" s="1">
        <v>42369</v>
      </c>
      <c r="E1100" s="2">
        <v>2787116000</v>
      </c>
      <c r="F1100" s="2">
        <v>832306000</v>
      </c>
      <c r="G1100" s="2">
        <v>372457000</v>
      </c>
      <c r="H1100" t="s">
        <v>12</v>
      </c>
      <c r="I1100" s="2">
        <v>1668489000</v>
      </c>
      <c r="J1100" t="s">
        <v>83</v>
      </c>
      <c r="K1100" t="s">
        <v>144</v>
      </c>
      <c r="L1100">
        <f t="shared" si="17"/>
        <v>0.70137374978292977</v>
      </c>
    </row>
    <row r="1101" spans="1:12" x14ac:dyDescent="0.2">
      <c r="A1101">
        <v>1127</v>
      </c>
      <c r="B1101" t="s">
        <v>405</v>
      </c>
      <c r="C1101" t="s">
        <v>11</v>
      </c>
      <c r="D1101" s="1">
        <v>42004</v>
      </c>
      <c r="E1101" s="2">
        <v>7719600000</v>
      </c>
      <c r="F1101" s="2">
        <v>4191600000</v>
      </c>
      <c r="G1101" s="2">
        <v>1545700000</v>
      </c>
      <c r="H1101" s="2">
        <v>581800000</v>
      </c>
      <c r="I1101" t="s">
        <v>12</v>
      </c>
      <c r="J1101" t="s">
        <v>25</v>
      </c>
      <c r="K1101" t="s">
        <v>26</v>
      </c>
      <c r="L1101">
        <f t="shared" si="17"/>
        <v>0.45701849836779107</v>
      </c>
    </row>
    <row r="1102" spans="1:12" x14ac:dyDescent="0.2">
      <c r="A1102">
        <v>1128</v>
      </c>
      <c r="B1102" t="s">
        <v>405</v>
      </c>
      <c r="C1102" t="s">
        <v>15</v>
      </c>
      <c r="D1102" s="1">
        <v>42369</v>
      </c>
      <c r="E1102" s="2">
        <v>9429300000</v>
      </c>
      <c r="F1102" s="2">
        <v>5213200000</v>
      </c>
      <c r="G1102" s="2">
        <v>2180700000</v>
      </c>
      <c r="H1102" s="2">
        <v>671900000</v>
      </c>
      <c r="I1102" t="s">
        <v>12</v>
      </c>
      <c r="J1102" t="s">
        <v>25</v>
      </c>
      <c r="K1102" t="s">
        <v>26</v>
      </c>
      <c r="L1102">
        <f t="shared" si="17"/>
        <v>0.44712757044531404</v>
      </c>
    </row>
    <row r="1103" spans="1:12" x14ac:dyDescent="0.2">
      <c r="A1103">
        <v>1132</v>
      </c>
      <c r="B1103" t="s">
        <v>406</v>
      </c>
      <c r="C1103" t="s">
        <v>11</v>
      </c>
      <c r="D1103" s="1">
        <v>41639</v>
      </c>
      <c r="E1103" s="2">
        <v>5015000000</v>
      </c>
      <c r="F1103" s="2">
        <v>844000000</v>
      </c>
      <c r="G1103" s="2">
        <v>446000000</v>
      </c>
      <c r="H1103" t="s">
        <v>12</v>
      </c>
      <c r="I1103" s="2">
        <v>1568000000</v>
      </c>
      <c r="J1103" t="s">
        <v>83</v>
      </c>
      <c r="K1103" t="s">
        <v>84</v>
      </c>
      <c r="L1103">
        <f t="shared" si="17"/>
        <v>0.83170488534396814</v>
      </c>
    </row>
    <row r="1104" spans="1:12" x14ac:dyDescent="0.2">
      <c r="A1104">
        <v>1133</v>
      </c>
      <c r="B1104" t="s">
        <v>406</v>
      </c>
      <c r="C1104" t="s">
        <v>15</v>
      </c>
      <c r="D1104" s="1">
        <v>42004</v>
      </c>
      <c r="E1104" s="2">
        <v>5115000000</v>
      </c>
      <c r="F1104" s="2">
        <v>945000000</v>
      </c>
      <c r="G1104" s="2">
        <v>495000000</v>
      </c>
      <c r="H1104" t="s">
        <v>12</v>
      </c>
      <c r="I1104" s="2">
        <v>1759000000</v>
      </c>
      <c r="J1104" t="s">
        <v>83</v>
      </c>
      <c r="K1104" t="s">
        <v>84</v>
      </c>
      <c r="L1104">
        <f t="shared" si="17"/>
        <v>0.81524926686217003</v>
      </c>
    </row>
    <row r="1105" spans="1:12" x14ac:dyDescent="0.2">
      <c r="A1105">
        <v>1134</v>
      </c>
      <c r="B1105" t="s">
        <v>406</v>
      </c>
      <c r="C1105" t="s">
        <v>16</v>
      </c>
      <c r="D1105" s="1">
        <v>42369</v>
      </c>
      <c r="E1105" s="2">
        <v>3183000000</v>
      </c>
      <c r="F1105" s="2">
        <v>979000000</v>
      </c>
      <c r="G1105" s="2">
        <v>745000000</v>
      </c>
      <c r="H1105" t="s">
        <v>12</v>
      </c>
      <c r="I1105" s="2">
        <v>2131000000</v>
      </c>
      <c r="J1105" t="s">
        <v>83</v>
      </c>
      <c r="K1105" t="s">
        <v>84</v>
      </c>
      <c r="L1105">
        <f t="shared" si="17"/>
        <v>0.69242852654728249</v>
      </c>
    </row>
    <row r="1106" spans="1:12" x14ac:dyDescent="0.2">
      <c r="A1106">
        <v>1135</v>
      </c>
      <c r="B1106" t="s">
        <v>406</v>
      </c>
      <c r="C1106" t="s">
        <v>17</v>
      </c>
      <c r="D1106" s="1">
        <v>42735</v>
      </c>
      <c r="E1106" s="2">
        <v>3491000000</v>
      </c>
      <c r="F1106" s="2">
        <v>1083000000</v>
      </c>
      <c r="G1106" s="2">
        <v>233000000</v>
      </c>
      <c r="H1106" t="s">
        <v>12</v>
      </c>
      <c r="I1106" s="2">
        <v>2454000000</v>
      </c>
      <c r="J1106" t="s">
        <v>83</v>
      </c>
      <c r="K1106" t="s">
        <v>84</v>
      </c>
      <c r="L1106">
        <f t="shared" si="17"/>
        <v>0.68977370380979663</v>
      </c>
    </row>
    <row r="1107" spans="1:12" x14ac:dyDescent="0.2">
      <c r="A1107">
        <v>1136</v>
      </c>
      <c r="B1107" t="s">
        <v>407</v>
      </c>
      <c r="C1107" t="s">
        <v>11</v>
      </c>
      <c r="D1107" s="1">
        <v>41274</v>
      </c>
      <c r="E1107" s="2">
        <v>3023000000</v>
      </c>
      <c r="F1107" s="2">
        <v>1446000000</v>
      </c>
      <c r="G1107" s="2">
        <v>832000000</v>
      </c>
      <c r="H1107" t="s">
        <v>12</v>
      </c>
      <c r="I1107" s="2">
        <v>104000000</v>
      </c>
      <c r="J1107" t="s">
        <v>47</v>
      </c>
      <c r="K1107" t="s">
        <v>379</v>
      </c>
      <c r="L1107">
        <f t="shared" si="17"/>
        <v>0.52166721799536886</v>
      </c>
    </row>
    <row r="1108" spans="1:12" x14ac:dyDescent="0.2">
      <c r="A1108">
        <v>1137</v>
      </c>
      <c r="B1108" t="s">
        <v>407</v>
      </c>
      <c r="C1108" t="s">
        <v>15</v>
      </c>
      <c r="D1108" s="1">
        <v>41639</v>
      </c>
      <c r="E1108" s="2">
        <v>3100000000</v>
      </c>
      <c r="F1108" s="2">
        <v>1316000000</v>
      </c>
      <c r="G1108" s="2">
        <v>1054000000</v>
      </c>
      <c r="H1108" t="s">
        <v>12</v>
      </c>
      <c r="I1108" s="2">
        <v>122000000</v>
      </c>
      <c r="J1108" t="s">
        <v>47</v>
      </c>
      <c r="K1108" t="s">
        <v>379</v>
      </c>
      <c r="L1108">
        <f t="shared" si="17"/>
        <v>0.5754838709677419</v>
      </c>
    </row>
    <row r="1109" spans="1:12" x14ac:dyDescent="0.2">
      <c r="A1109">
        <v>1138</v>
      </c>
      <c r="B1109" t="s">
        <v>407</v>
      </c>
      <c r="C1109" t="s">
        <v>16</v>
      </c>
      <c r="D1109" s="1">
        <v>42004</v>
      </c>
      <c r="E1109" s="2">
        <v>3383000000</v>
      </c>
      <c r="F1109" s="2">
        <v>1433000000</v>
      </c>
      <c r="G1109" s="2">
        <v>1095000000</v>
      </c>
      <c r="H1109" t="s">
        <v>12</v>
      </c>
      <c r="I1109" s="2">
        <v>137000000</v>
      </c>
      <c r="J1109" t="s">
        <v>47</v>
      </c>
      <c r="K1109" t="s">
        <v>379</v>
      </c>
      <c r="L1109">
        <f t="shared" si="17"/>
        <v>0.57641146911025709</v>
      </c>
    </row>
    <row r="1110" spans="1:12" x14ac:dyDescent="0.2">
      <c r="A1110">
        <v>1139</v>
      </c>
      <c r="B1110" t="s">
        <v>407</v>
      </c>
      <c r="C1110" t="s">
        <v>17</v>
      </c>
      <c r="D1110" s="1">
        <v>42369</v>
      </c>
      <c r="E1110" s="2">
        <v>3292000000</v>
      </c>
      <c r="F1110" s="2">
        <v>1313000000</v>
      </c>
      <c r="G1110" s="2">
        <v>1050000000</v>
      </c>
      <c r="H1110" t="s">
        <v>12</v>
      </c>
      <c r="I1110" s="2">
        <v>138000000</v>
      </c>
      <c r="J1110" t="s">
        <v>47</v>
      </c>
      <c r="K1110" t="s">
        <v>379</v>
      </c>
      <c r="L1110">
        <f t="shared" si="17"/>
        <v>0.6011543134872418</v>
      </c>
    </row>
    <row r="1111" spans="1:12" x14ac:dyDescent="0.2">
      <c r="A1111">
        <v>1140</v>
      </c>
      <c r="B1111" t="s">
        <v>408</v>
      </c>
      <c r="C1111" t="s">
        <v>11</v>
      </c>
      <c r="D1111" s="1">
        <v>41274</v>
      </c>
      <c r="E1111" s="2">
        <v>14256000000</v>
      </c>
      <c r="F1111" s="2">
        <v>8276000000</v>
      </c>
      <c r="G1111" s="2">
        <v>1186000000</v>
      </c>
      <c r="H1111" t="s">
        <v>12</v>
      </c>
      <c r="I1111" s="2">
        <v>1518000000</v>
      </c>
      <c r="J1111" t="s">
        <v>42</v>
      </c>
      <c r="K1111" t="s">
        <v>43</v>
      </c>
      <c r="L1111">
        <f t="shared" si="17"/>
        <v>0.41947250280583614</v>
      </c>
    </row>
    <row r="1112" spans="1:12" x14ac:dyDescent="0.2">
      <c r="A1112">
        <v>1141</v>
      </c>
      <c r="B1112" t="s">
        <v>408</v>
      </c>
      <c r="C1112" t="s">
        <v>15</v>
      </c>
      <c r="D1112" s="1">
        <v>41639</v>
      </c>
      <c r="E1112" s="2">
        <v>15136000000</v>
      </c>
      <c r="F1112" s="2">
        <v>8152000000</v>
      </c>
      <c r="G1112" s="2">
        <v>1280000000</v>
      </c>
      <c r="H1112" t="s">
        <v>12</v>
      </c>
      <c r="I1112" s="2">
        <v>2163000000</v>
      </c>
      <c r="J1112" t="s">
        <v>42</v>
      </c>
      <c r="K1112" t="s">
        <v>43</v>
      </c>
      <c r="L1112">
        <f t="shared" si="17"/>
        <v>0.46141649048625788</v>
      </c>
    </row>
    <row r="1113" spans="1:12" x14ac:dyDescent="0.2">
      <c r="A1113">
        <v>1142</v>
      </c>
      <c r="B1113" t="s">
        <v>408</v>
      </c>
      <c r="C1113" t="s">
        <v>16</v>
      </c>
      <c r="D1113" s="1">
        <v>42004</v>
      </c>
      <c r="E1113" s="2">
        <v>17021000000</v>
      </c>
      <c r="F1113" s="2">
        <v>8751000000</v>
      </c>
      <c r="G1113" s="2">
        <v>1324000000</v>
      </c>
      <c r="H1113" t="s">
        <v>12</v>
      </c>
      <c r="I1113" s="2">
        <v>2551000000</v>
      </c>
      <c r="J1113" t="s">
        <v>42</v>
      </c>
      <c r="K1113" t="s">
        <v>43</v>
      </c>
      <c r="L1113">
        <f t="shared" si="17"/>
        <v>0.48587039539392518</v>
      </c>
    </row>
    <row r="1114" spans="1:12" x14ac:dyDescent="0.2">
      <c r="A1114">
        <v>1143</v>
      </c>
      <c r="B1114" t="s">
        <v>408</v>
      </c>
      <c r="C1114" t="s">
        <v>17</v>
      </c>
      <c r="D1114" s="1">
        <v>42369</v>
      </c>
      <c r="E1114" s="2">
        <v>17486000000</v>
      </c>
      <c r="F1114" s="2">
        <v>8596000000</v>
      </c>
      <c r="G1114" s="2">
        <v>1399000000</v>
      </c>
      <c r="H1114" t="s">
        <v>12</v>
      </c>
      <c r="I1114" s="2">
        <v>2831000000</v>
      </c>
      <c r="J1114" t="s">
        <v>42</v>
      </c>
      <c r="K1114" t="s">
        <v>43</v>
      </c>
      <c r="L1114">
        <f t="shared" si="17"/>
        <v>0.50840672538030418</v>
      </c>
    </row>
    <row r="1115" spans="1:12" x14ac:dyDescent="0.2">
      <c r="A1115">
        <v>1144</v>
      </c>
      <c r="B1115" t="s">
        <v>409</v>
      </c>
      <c r="C1115" t="s">
        <v>11</v>
      </c>
      <c r="D1115" s="1">
        <v>41274</v>
      </c>
      <c r="E1115" s="2">
        <v>9964000000</v>
      </c>
      <c r="F1115" s="2">
        <v>4334000000</v>
      </c>
      <c r="G1115" s="2">
        <v>757000000</v>
      </c>
      <c r="H1115" s="2">
        <v>704000000</v>
      </c>
      <c r="I1115" s="2">
        <v>1032000000</v>
      </c>
      <c r="J1115" t="s">
        <v>59</v>
      </c>
      <c r="K1115" t="s">
        <v>410</v>
      </c>
      <c r="L1115">
        <f t="shared" si="17"/>
        <v>0.56503412284223198</v>
      </c>
    </row>
    <row r="1116" spans="1:12" x14ac:dyDescent="0.2">
      <c r="A1116">
        <v>1145</v>
      </c>
      <c r="B1116" t="s">
        <v>409</v>
      </c>
      <c r="C1116" t="s">
        <v>15</v>
      </c>
      <c r="D1116" s="1">
        <v>41639</v>
      </c>
      <c r="E1116" s="2">
        <v>8414000000</v>
      </c>
      <c r="F1116" s="2">
        <v>5299000000</v>
      </c>
      <c r="G1116" s="2">
        <v>584000000</v>
      </c>
      <c r="H1116" s="2">
        <v>469000000</v>
      </c>
      <c r="I1116" s="2">
        <v>1362000000</v>
      </c>
      <c r="J1116" t="s">
        <v>59</v>
      </c>
      <c r="K1116" t="s">
        <v>410</v>
      </c>
      <c r="L1116">
        <f t="shared" si="17"/>
        <v>0.37021630615640599</v>
      </c>
    </row>
    <row r="1117" spans="1:12" x14ac:dyDescent="0.2">
      <c r="A1117">
        <v>1146</v>
      </c>
      <c r="B1117" t="s">
        <v>409</v>
      </c>
      <c r="C1117" t="s">
        <v>16</v>
      </c>
      <c r="D1117" s="1">
        <v>42004</v>
      </c>
      <c r="E1117" s="2">
        <v>7292000000</v>
      </c>
      <c r="F1117" s="2">
        <v>4457000000</v>
      </c>
      <c r="G1117" s="2">
        <v>545000000</v>
      </c>
      <c r="H1117" s="2">
        <v>325000000</v>
      </c>
      <c r="I1117" s="2">
        <v>1229000000</v>
      </c>
      <c r="J1117" t="s">
        <v>59</v>
      </c>
      <c r="K1117" t="s">
        <v>410</v>
      </c>
      <c r="L1117">
        <f t="shared" si="17"/>
        <v>0.38878222709818977</v>
      </c>
    </row>
    <row r="1118" spans="1:12" x14ac:dyDescent="0.2">
      <c r="A1118">
        <v>1147</v>
      </c>
      <c r="B1118" t="s">
        <v>409</v>
      </c>
      <c r="C1118" t="s">
        <v>17</v>
      </c>
      <c r="D1118" s="1">
        <v>42369</v>
      </c>
      <c r="E1118" s="2">
        <v>7729000000</v>
      </c>
      <c r="F1118" s="2">
        <v>4312000000</v>
      </c>
      <c r="G1118" s="2">
        <v>670000000</v>
      </c>
      <c r="H1118" s="2">
        <v>289000000</v>
      </c>
      <c r="I1118" s="2">
        <v>1239000000</v>
      </c>
      <c r="J1118" t="s">
        <v>59</v>
      </c>
      <c r="K1118" t="s">
        <v>410</v>
      </c>
      <c r="L1118">
        <f t="shared" si="17"/>
        <v>0.44210117738387888</v>
      </c>
    </row>
    <row r="1119" spans="1:12" x14ac:dyDescent="0.2">
      <c r="A1119">
        <v>1148</v>
      </c>
      <c r="B1119" t="s">
        <v>411</v>
      </c>
      <c r="C1119" t="s">
        <v>11</v>
      </c>
      <c r="D1119" s="1">
        <v>41639</v>
      </c>
      <c r="E1119" s="2">
        <v>4374562000</v>
      </c>
      <c r="F1119" s="2">
        <v>3117203000</v>
      </c>
      <c r="G1119" s="2">
        <v>650243000</v>
      </c>
      <c r="H1119" s="2">
        <v>378769000</v>
      </c>
      <c r="I1119" t="s">
        <v>12</v>
      </c>
      <c r="J1119" t="s">
        <v>22</v>
      </c>
      <c r="K1119" t="s">
        <v>57</v>
      </c>
      <c r="L1119">
        <f t="shared" si="17"/>
        <v>0.28742511821754957</v>
      </c>
    </row>
    <row r="1120" spans="1:12" x14ac:dyDescent="0.2">
      <c r="A1120">
        <v>1149</v>
      </c>
      <c r="B1120" t="s">
        <v>411</v>
      </c>
      <c r="C1120" t="s">
        <v>15</v>
      </c>
      <c r="D1120" s="1">
        <v>42004</v>
      </c>
      <c r="E1120" s="2">
        <v>5504656000</v>
      </c>
      <c r="F1120" s="2">
        <v>3752760000</v>
      </c>
      <c r="G1120" s="2">
        <v>876927000</v>
      </c>
      <c r="H1120" s="2">
        <v>472321000</v>
      </c>
      <c r="I1120" t="s">
        <v>12</v>
      </c>
      <c r="J1120" t="s">
        <v>22</v>
      </c>
      <c r="K1120" t="s">
        <v>57</v>
      </c>
      <c r="L1120">
        <f t="shared" si="17"/>
        <v>0.31825712633087333</v>
      </c>
    </row>
    <row r="1121" spans="1:12" x14ac:dyDescent="0.2">
      <c r="A1121">
        <v>1150</v>
      </c>
      <c r="B1121" t="s">
        <v>411</v>
      </c>
      <c r="C1121" t="s">
        <v>16</v>
      </c>
      <c r="D1121" s="1">
        <v>42369</v>
      </c>
      <c r="E1121" s="2">
        <v>6779511000</v>
      </c>
      <c r="F1121" s="2">
        <v>4591476000</v>
      </c>
      <c r="G1121" s="2">
        <v>1231421000</v>
      </c>
      <c r="H1121" s="2">
        <v>650788000</v>
      </c>
      <c r="I1121" t="s">
        <v>12</v>
      </c>
      <c r="J1121" t="s">
        <v>22</v>
      </c>
      <c r="K1121" t="s">
        <v>57</v>
      </c>
      <c r="L1121">
        <f t="shared" si="17"/>
        <v>0.32274230398033132</v>
      </c>
    </row>
    <row r="1122" spans="1:12" x14ac:dyDescent="0.2">
      <c r="A1122">
        <v>1151</v>
      </c>
      <c r="B1122" t="s">
        <v>411</v>
      </c>
      <c r="C1122" t="s">
        <v>17</v>
      </c>
      <c r="D1122" s="1">
        <v>42735</v>
      </c>
      <c r="E1122" s="2">
        <v>8830669000</v>
      </c>
      <c r="F1122" s="2">
        <v>6029901000</v>
      </c>
      <c r="G1122" s="2">
        <v>1568877000</v>
      </c>
      <c r="H1122" s="2">
        <v>852098000</v>
      </c>
      <c r="I1122" t="s">
        <v>12</v>
      </c>
      <c r="J1122" t="s">
        <v>22</v>
      </c>
      <c r="K1122" t="s">
        <v>57</v>
      </c>
      <c r="L1122">
        <f t="shared" si="17"/>
        <v>0.31716373923651764</v>
      </c>
    </row>
    <row r="1123" spans="1:12" x14ac:dyDescent="0.2">
      <c r="A1123">
        <v>1152</v>
      </c>
      <c r="B1123" t="s">
        <v>412</v>
      </c>
      <c r="C1123" t="s">
        <v>11</v>
      </c>
      <c r="D1123" s="1">
        <v>41274</v>
      </c>
      <c r="E1123" s="2">
        <v>1562000000</v>
      </c>
      <c r="F1123" s="2">
        <v>413000000</v>
      </c>
      <c r="G1123" s="2">
        <v>311000000</v>
      </c>
      <c r="H1123" t="s">
        <v>12</v>
      </c>
      <c r="I1123" s="2">
        <v>704000000</v>
      </c>
      <c r="J1123" t="s">
        <v>83</v>
      </c>
      <c r="K1123" t="s">
        <v>84</v>
      </c>
      <c r="L1123">
        <f t="shared" si="17"/>
        <v>0.73559539052496792</v>
      </c>
    </row>
    <row r="1124" spans="1:12" x14ac:dyDescent="0.2">
      <c r="A1124">
        <v>1153</v>
      </c>
      <c r="B1124" t="s">
        <v>412</v>
      </c>
      <c r="C1124" t="s">
        <v>15</v>
      </c>
      <c r="D1124" s="1">
        <v>41639</v>
      </c>
      <c r="E1124" s="2">
        <v>1857000000</v>
      </c>
      <c r="F1124" s="2">
        <v>411000000</v>
      </c>
      <c r="G1124" s="2">
        <v>311000000</v>
      </c>
      <c r="H1124" t="s">
        <v>12</v>
      </c>
      <c r="I1124" s="2">
        <v>685000000</v>
      </c>
      <c r="J1124" t="s">
        <v>83</v>
      </c>
      <c r="K1124" t="s">
        <v>84</v>
      </c>
      <c r="L1124">
        <f t="shared" si="17"/>
        <v>0.77867528271405495</v>
      </c>
    </row>
    <row r="1125" spans="1:12" x14ac:dyDescent="0.2">
      <c r="A1125">
        <v>1154</v>
      </c>
      <c r="B1125" t="s">
        <v>412</v>
      </c>
      <c r="C1125" t="s">
        <v>16</v>
      </c>
      <c r="D1125" s="1">
        <v>42004</v>
      </c>
      <c r="E1125" s="2">
        <v>2288000000</v>
      </c>
      <c r="F1125" s="2">
        <v>485000000</v>
      </c>
      <c r="G1125" s="2">
        <v>358000000</v>
      </c>
      <c r="H1125" t="s">
        <v>12</v>
      </c>
      <c r="I1125" s="2">
        <v>870000000</v>
      </c>
      <c r="J1125" t="s">
        <v>83</v>
      </c>
      <c r="K1125" t="s">
        <v>84</v>
      </c>
      <c r="L1125">
        <f t="shared" si="17"/>
        <v>0.78802447552447552</v>
      </c>
    </row>
    <row r="1126" spans="1:12" x14ac:dyDescent="0.2">
      <c r="A1126">
        <v>1155</v>
      </c>
      <c r="B1126" t="s">
        <v>412</v>
      </c>
      <c r="C1126" t="s">
        <v>17</v>
      </c>
      <c r="D1126" s="1">
        <v>42369</v>
      </c>
      <c r="E1126" s="2">
        <v>1557000000</v>
      </c>
      <c r="F1126" s="2">
        <v>497000000</v>
      </c>
      <c r="G1126" s="2">
        <v>5204000000</v>
      </c>
      <c r="H1126" t="s">
        <v>12</v>
      </c>
      <c r="I1126" s="2">
        <v>917000000</v>
      </c>
      <c r="J1126" t="s">
        <v>83</v>
      </c>
      <c r="K1126" t="s">
        <v>84</v>
      </c>
      <c r="L1126">
        <f t="shared" si="17"/>
        <v>0.680796403339756</v>
      </c>
    </row>
    <row r="1127" spans="1:12" x14ac:dyDescent="0.2">
      <c r="A1127">
        <v>1156</v>
      </c>
      <c r="B1127" t="s">
        <v>413</v>
      </c>
      <c r="C1127" t="s">
        <v>11</v>
      </c>
      <c r="D1127" s="1">
        <v>41425</v>
      </c>
      <c r="E1127" s="2">
        <v>25313000000</v>
      </c>
      <c r="F1127" s="2">
        <v>14279000000</v>
      </c>
      <c r="G1127" s="2">
        <v>7796000000</v>
      </c>
      <c r="H1127" t="s">
        <v>12</v>
      </c>
      <c r="I1127" t="s">
        <v>12</v>
      </c>
      <c r="J1127" t="s">
        <v>19</v>
      </c>
      <c r="K1127" t="s">
        <v>289</v>
      </c>
      <c r="L1127">
        <f t="shared" si="17"/>
        <v>0.4359025006913444</v>
      </c>
    </row>
    <row r="1128" spans="1:12" x14ac:dyDescent="0.2">
      <c r="A1128">
        <v>1157</v>
      </c>
      <c r="B1128" t="s">
        <v>413</v>
      </c>
      <c r="C1128" t="s">
        <v>15</v>
      </c>
      <c r="D1128" s="1">
        <v>41790</v>
      </c>
      <c r="E1128" s="2">
        <v>27799000000</v>
      </c>
      <c r="F1128" s="2">
        <v>15353000000</v>
      </c>
      <c r="G1128" s="2">
        <v>8766000000</v>
      </c>
      <c r="H1128" t="s">
        <v>12</v>
      </c>
      <c r="I1128" t="s">
        <v>12</v>
      </c>
      <c r="J1128" t="s">
        <v>19</v>
      </c>
      <c r="K1128" t="s">
        <v>289</v>
      </c>
      <c r="L1128">
        <f t="shared" si="17"/>
        <v>0.44771394654483976</v>
      </c>
    </row>
    <row r="1129" spans="1:12" x14ac:dyDescent="0.2">
      <c r="A1129">
        <v>1158</v>
      </c>
      <c r="B1129" t="s">
        <v>413</v>
      </c>
      <c r="C1129" t="s">
        <v>16</v>
      </c>
      <c r="D1129" s="1">
        <v>42155</v>
      </c>
      <c r="E1129" s="2">
        <v>30601000000</v>
      </c>
      <c r="F1129" s="2">
        <v>16534000000</v>
      </c>
      <c r="G1129" s="2">
        <v>9892000000</v>
      </c>
      <c r="H1129" t="s">
        <v>12</v>
      </c>
      <c r="I1129" t="s">
        <v>12</v>
      </c>
      <c r="J1129" t="s">
        <v>19</v>
      </c>
      <c r="K1129" t="s">
        <v>289</v>
      </c>
      <c r="L1129">
        <f t="shared" si="17"/>
        <v>0.45969085977582436</v>
      </c>
    </row>
    <row r="1130" spans="1:12" x14ac:dyDescent="0.2">
      <c r="A1130">
        <v>1159</v>
      </c>
      <c r="B1130" t="s">
        <v>413</v>
      </c>
      <c r="C1130" t="s">
        <v>17</v>
      </c>
      <c r="D1130" s="1">
        <v>42521</v>
      </c>
      <c r="E1130" s="2">
        <v>32376000000</v>
      </c>
      <c r="F1130" s="2">
        <v>17405000000</v>
      </c>
      <c r="G1130" s="2">
        <v>10469000000</v>
      </c>
      <c r="H1130" t="s">
        <v>12</v>
      </c>
      <c r="I1130" t="s">
        <v>12</v>
      </c>
      <c r="J1130" t="s">
        <v>19</v>
      </c>
      <c r="K1130" t="s">
        <v>289</v>
      </c>
      <c r="L1130">
        <f t="shared" si="17"/>
        <v>0.46241042747714356</v>
      </c>
    </row>
    <row r="1131" spans="1:12" x14ac:dyDescent="0.2">
      <c r="A1131">
        <v>1160</v>
      </c>
      <c r="B1131" t="s">
        <v>414</v>
      </c>
      <c r="C1131" t="s">
        <v>11</v>
      </c>
      <c r="D1131" s="1">
        <v>41639</v>
      </c>
      <c r="E1131" s="2">
        <v>5703000000</v>
      </c>
      <c r="F1131" s="2">
        <v>2398000000</v>
      </c>
      <c r="G1131" s="2">
        <v>1815000000</v>
      </c>
      <c r="H1131" t="s">
        <v>12</v>
      </c>
      <c r="I1131" s="2">
        <v>510000000</v>
      </c>
      <c r="J1131" t="s">
        <v>13</v>
      </c>
      <c r="K1131" t="s">
        <v>211</v>
      </c>
      <c r="L1131">
        <f t="shared" si="17"/>
        <v>0.57951955111344899</v>
      </c>
    </row>
    <row r="1132" spans="1:12" x14ac:dyDescent="0.2">
      <c r="A1132">
        <v>1161</v>
      </c>
      <c r="B1132" t="s">
        <v>414</v>
      </c>
      <c r="C1132" t="s">
        <v>15</v>
      </c>
      <c r="D1132" s="1">
        <v>42004</v>
      </c>
      <c r="E1132" s="2">
        <v>6288000000</v>
      </c>
      <c r="F1132" s="2">
        <v>2620000000</v>
      </c>
      <c r="G1132" s="2">
        <v>1917000000</v>
      </c>
      <c r="H1132" t="s">
        <v>12</v>
      </c>
      <c r="I1132" s="2">
        <v>573000000</v>
      </c>
      <c r="J1132" t="s">
        <v>13</v>
      </c>
      <c r="K1132" t="s">
        <v>211</v>
      </c>
      <c r="L1132">
        <f t="shared" si="17"/>
        <v>0.58333333333333326</v>
      </c>
    </row>
    <row r="1133" spans="1:12" x14ac:dyDescent="0.2">
      <c r="A1133">
        <v>1162</v>
      </c>
      <c r="B1133" t="s">
        <v>414</v>
      </c>
      <c r="C1133" t="s">
        <v>16</v>
      </c>
      <c r="D1133" s="1">
        <v>42369</v>
      </c>
      <c r="E1133" s="2">
        <v>6172000000</v>
      </c>
      <c r="F1133" s="2">
        <v>2539000000</v>
      </c>
      <c r="G1133" s="2">
        <v>1915000000</v>
      </c>
      <c r="H1133" t="s">
        <v>12</v>
      </c>
      <c r="I1133" s="2">
        <v>574000000</v>
      </c>
      <c r="J1133" t="s">
        <v>13</v>
      </c>
      <c r="K1133" t="s">
        <v>211</v>
      </c>
      <c r="L1133">
        <f t="shared" si="17"/>
        <v>0.58862605314322747</v>
      </c>
    </row>
    <row r="1134" spans="1:12" x14ac:dyDescent="0.2">
      <c r="A1134">
        <v>1163</v>
      </c>
      <c r="B1134" t="s">
        <v>414</v>
      </c>
      <c r="C1134" t="s">
        <v>17</v>
      </c>
      <c r="D1134" s="1">
        <v>42735</v>
      </c>
      <c r="E1134" s="2">
        <v>6309000000</v>
      </c>
      <c r="F1134" s="2">
        <v>2607000000</v>
      </c>
      <c r="G1134" s="2">
        <v>1851000000</v>
      </c>
      <c r="H1134" t="s">
        <v>12</v>
      </c>
      <c r="I1134" s="2">
        <v>603000000</v>
      </c>
      <c r="J1134" t="s">
        <v>13</v>
      </c>
      <c r="K1134" t="s">
        <v>211</v>
      </c>
      <c r="L1134">
        <f t="shared" si="17"/>
        <v>0.58678078934854971</v>
      </c>
    </row>
    <row r="1135" spans="1:12" x14ac:dyDescent="0.2">
      <c r="A1135">
        <v>1164</v>
      </c>
      <c r="B1135" t="s">
        <v>415</v>
      </c>
      <c r="C1135" t="s">
        <v>11</v>
      </c>
      <c r="D1135" s="1">
        <v>41274</v>
      </c>
      <c r="E1135" s="2">
        <v>17194000000</v>
      </c>
      <c r="F1135" s="2">
        <v>12151000000</v>
      </c>
      <c r="G1135" s="2">
        <v>1654000000</v>
      </c>
      <c r="H1135" t="s">
        <v>12</v>
      </c>
      <c r="I1135" t="s">
        <v>12</v>
      </c>
      <c r="J1135" t="s">
        <v>83</v>
      </c>
      <c r="K1135" t="s">
        <v>114</v>
      </c>
      <c r="L1135">
        <f t="shared" si="17"/>
        <v>0.29329998836803539</v>
      </c>
    </row>
    <row r="1136" spans="1:12" x14ac:dyDescent="0.2">
      <c r="A1136">
        <v>1165</v>
      </c>
      <c r="B1136" t="s">
        <v>415</v>
      </c>
      <c r="C1136" t="s">
        <v>15</v>
      </c>
      <c r="D1136" s="1">
        <v>41639</v>
      </c>
      <c r="E1136" s="2">
        <v>19221000000</v>
      </c>
      <c r="F1136" s="2">
        <v>14117000000</v>
      </c>
      <c r="G1136" s="2">
        <v>1905000000</v>
      </c>
      <c r="H1136" t="s">
        <v>12</v>
      </c>
      <c r="I1136" t="s">
        <v>12</v>
      </c>
      <c r="J1136" t="s">
        <v>83</v>
      </c>
      <c r="K1136" t="s">
        <v>114</v>
      </c>
      <c r="L1136">
        <f t="shared" si="17"/>
        <v>0.26554289579106183</v>
      </c>
    </row>
    <row r="1137" spans="1:12" x14ac:dyDescent="0.2">
      <c r="A1137">
        <v>1166</v>
      </c>
      <c r="B1137" t="s">
        <v>415</v>
      </c>
      <c r="C1137" t="s">
        <v>16</v>
      </c>
      <c r="D1137" s="1">
        <v>42004</v>
      </c>
      <c r="E1137" s="2">
        <v>21440000000</v>
      </c>
      <c r="F1137" s="2">
        <v>15631000000</v>
      </c>
      <c r="G1137" s="2">
        <v>2092000000</v>
      </c>
      <c r="H1137" t="s">
        <v>12</v>
      </c>
      <c r="I1137" t="s">
        <v>12</v>
      </c>
      <c r="J1137" t="s">
        <v>83</v>
      </c>
      <c r="K1137" t="s">
        <v>114</v>
      </c>
      <c r="L1137">
        <f t="shared" si="17"/>
        <v>0.27094216417910444</v>
      </c>
    </row>
    <row r="1138" spans="1:12" x14ac:dyDescent="0.2">
      <c r="A1138">
        <v>1167</v>
      </c>
      <c r="B1138" t="s">
        <v>415</v>
      </c>
      <c r="C1138" t="s">
        <v>17</v>
      </c>
      <c r="D1138" s="1">
        <v>42369</v>
      </c>
      <c r="E1138" s="2">
        <v>14757000000</v>
      </c>
      <c r="F1138" s="2">
        <v>11694000000</v>
      </c>
      <c r="G1138" s="2">
        <v>1764000000</v>
      </c>
      <c r="H1138" t="s">
        <v>12</v>
      </c>
      <c r="I1138" t="s">
        <v>12</v>
      </c>
      <c r="J1138" t="s">
        <v>83</v>
      </c>
      <c r="K1138" t="s">
        <v>114</v>
      </c>
      <c r="L1138">
        <f t="shared" si="17"/>
        <v>0.20756251270583448</v>
      </c>
    </row>
    <row r="1139" spans="1:12" x14ac:dyDescent="0.2">
      <c r="A1139">
        <v>1168</v>
      </c>
      <c r="B1139" t="s">
        <v>416</v>
      </c>
      <c r="C1139" t="s">
        <v>11</v>
      </c>
      <c r="D1139" s="1">
        <v>41639</v>
      </c>
      <c r="E1139" s="2">
        <v>11245000000</v>
      </c>
      <c r="F1139" s="2">
        <v>4070000000</v>
      </c>
      <c r="G1139" s="2">
        <v>3002000000</v>
      </c>
      <c r="H1139" t="s">
        <v>12</v>
      </c>
      <c r="I1139" s="2">
        <v>916000000</v>
      </c>
      <c r="J1139" t="s">
        <v>13</v>
      </c>
      <c r="K1139" t="s">
        <v>178</v>
      </c>
      <c r="L1139">
        <f t="shared" si="17"/>
        <v>0.63806136060471319</v>
      </c>
    </row>
    <row r="1140" spans="1:12" x14ac:dyDescent="0.2">
      <c r="A1140">
        <v>1169</v>
      </c>
      <c r="B1140" t="s">
        <v>416</v>
      </c>
      <c r="C1140" t="s">
        <v>15</v>
      </c>
      <c r="D1140" s="1">
        <v>42004</v>
      </c>
      <c r="E1140" s="2">
        <v>11624000000</v>
      </c>
      <c r="F1140" s="2">
        <v>4201000000</v>
      </c>
      <c r="G1140" s="2">
        <v>2897000000</v>
      </c>
      <c r="H1140" t="s">
        <v>12</v>
      </c>
      <c r="I1140" s="2">
        <v>951000000</v>
      </c>
      <c r="J1140" t="s">
        <v>13</v>
      </c>
      <c r="K1140" t="s">
        <v>178</v>
      </c>
      <c r="L1140">
        <f t="shared" si="17"/>
        <v>0.63859256710254653</v>
      </c>
    </row>
    <row r="1141" spans="1:12" x14ac:dyDescent="0.2">
      <c r="A1141">
        <v>1170</v>
      </c>
      <c r="B1141" t="s">
        <v>416</v>
      </c>
      <c r="C1141" t="s">
        <v>16</v>
      </c>
      <c r="D1141" s="1">
        <v>42369</v>
      </c>
      <c r="E1141" s="2">
        <v>10511000000</v>
      </c>
      <c r="F1141" s="2">
        <v>3662000000</v>
      </c>
      <c r="G1141" s="2">
        <v>2911000000</v>
      </c>
      <c r="H1141" t="s">
        <v>12</v>
      </c>
      <c r="I1141" s="2">
        <v>1054000000</v>
      </c>
      <c r="J1141" t="s">
        <v>13</v>
      </c>
      <c r="K1141" t="s">
        <v>178</v>
      </c>
      <c r="L1141">
        <f t="shared" si="17"/>
        <v>0.65160308248501564</v>
      </c>
    </row>
    <row r="1142" spans="1:12" x14ac:dyDescent="0.2">
      <c r="A1142">
        <v>1171</v>
      </c>
      <c r="B1142" t="s">
        <v>416</v>
      </c>
      <c r="C1142" t="s">
        <v>17</v>
      </c>
      <c r="D1142" s="1">
        <v>42735</v>
      </c>
      <c r="E1142" s="2">
        <v>9888000000</v>
      </c>
      <c r="F1142" s="2">
        <v>3045000000</v>
      </c>
      <c r="G1142" s="2">
        <v>2743000000</v>
      </c>
      <c r="H1142" t="s">
        <v>12</v>
      </c>
      <c r="I1142" s="2">
        <v>1026000000</v>
      </c>
      <c r="J1142" t="s">
        <v>13</v>
      </c>
      <c r="K1142" t="s">
        <v>178</v>
      </c>
      <c r="L1142">
        <f t="shared" si="17"/>
        <v>0.69205097087378642</v>
      </c>
    </row>
    <row r="1143" spans="1:12" x14ac:dyDescent="0.2">
      <c r="A1143">
        <v>1172</v>
      </c>
      <c r="B1143" t="s">
        <v>417</v>
      </c>
      <c r="C1143" t="s">
        <v>11</v>
      </c>
      <c r="D1143" s="1">
        <v>41390</v>
      </c>
      <c r="E1143" s="2">
        <v>6332400000</v>
      </c>
      <c r="F1143" s="2">
        <v>2571300000</v>
      </c>
      <c r="G1143" s="2">
        <v>2247400000</v>
      </c>
      <c r="H1143" s="2">
        <v>904200000</v>
      </c>
      <c r="I1143" t="s">
        <v>12</v>
      </c>
      <c r="J1143" t="s">
        <v>22</v>
      </c>
      <c r="K1143" t="s">
        <v>57</v>
      </c>
      <c r="L1143">
        <f t="shared" si="17"/>
        <v>0.59394542353610014</v>
      </c>
    </row>
    <row r="1144" spans="1:12" x14ac:dyDescent="0.2">
      <c r="A1144">
        <v>1173</v>
      </c>
      <c r="B1144" t="s">
        <v>417</v>
      </c>
      <c r="C1144" t="s">
        <v>15</v>
      </c>
      <c r="D1144" s="1">
        <v>41754</v>
      </c>
      <c r="E1144" s="2">
        <v>6325000000</v>
      </c>
      <c r="F1144" s="2">
        <v>2406000000</v>
      </c>
      <c r="G1144" s="2">
        <v>2179000000</v>
      </c>
      <c r="H1144" s="2">
        <v>918000000</v>
      </c>
      <c r="I1144" t="s">
        <v>12</v>
      </c>
      <c r="J1144" t="s">
        <v>22</v>
      </c>
      <c r="K1144" t="s">
        <v>57</v>
      </c>
      <c r="L1144">
        <f t="shared" si="17"/>
        <v>0.61960474308300395</v>
      </c>
    </row>
    <row r="1145" spans="1:12" x14ac:dyDescent="0.2">
      <c r="A1145">
        <v>1174</v>
      </c>
      <c r="B1145" t="s">
        <v>417</v>
      </c>
      <c r="C1145" t="s">
        <v>16</v>
      </c>
      <c r="D1145" s="1">
        <v>42118</v>
      </c>
      <c r="E1145" s="2">
        <v>6123000000</v>
      </c>
      <c r="F1145" s="2">
        <v>2290000000</v>
      </c>
      <c r="G1145" s="2">
        <v>2197000000</v>
      </c>
      <c r="H1145" s="2">
        <v>920000000</v>
      </c>
      <c r="I1145" t="s">
        <v>12</v>
      </c>
      <c r="J1145" t="s">
        <v>22</v>
      </c>
      <c r="K1145" t="s">
        <v>57</v>
      </c>
      <c r="L1145">
        <f t="shared" si="17"/>
        <v>0.62600032663726934</v>
      </c>
    </row>
    <row r="1146" spans="1:12" x14ac:dyDescent="0.2">
      <c r="A1146">
        <v>1175</v>
      </c>
      <c r="B1146" t="s">
        <v>417</v>
      </c>
      <c r="C1146" t="s">
        <v>17</v>
      </c>
      <c r="D1146" s="1">
        <v>42489</v>
      </c>
      <c r="E1146" s="2">
        <v>5546000000</v>
      </c>
      <c r="F1146" s="2">
        <v>2173000000</v>
      </c>
      <c r="G1146" s="2">
        <v>2099000000</v>
      </c>
      <c r="H1146" s="2">
        <v>861000000</v>
      </c>
      <c r="I1146" t="s">
        <v>12</v>
      </c>
      <c r="J1146" t="s">
        <v>22</v>
      </c>
      <c r="K1146" t="s">
        <v>57</v>
      </c>
      <c r="L1146">
        <f t="shared" si="17"/>
        <v>0.60818608005769925</v>
      </c>
    </row>
    <row r="1147" spans="1:12" x14ac:dyDescent="0.2">
      <c r="A1147">
        <v>1180</v>
      </c>
      <c r="B1147" t="s">
        <v>418</v>
      </c>
      <c r="C1147" t="s">
        <v>11</v>
      </c>
      <c r="D1147" s="1">
        <v>41274</v>
      </c>
      <c r="E1147" s="2">
        <v>19429273000</v>
      </c>
      <c r="F1147" s="2">
        <v>17915735000</v>
      </c>
      <c r="G1147" s="2">
        <v>454900000</v>
      </c>
      <c r="H1147" t="s">
        <v>12</v>
      </c>
      <c r="I1147" t="s">
        <v>12</v>
      </c>
      <c r="J1147" t="s">
        <v>59</v>
      </c>
      <c r="K1147" t="s">
        <v>419</v>
      </c>
      <c r="L1147">
        <f t="shared" si="17"/>
        <v>7.7899878188957494E-2</v>
      </c>
    </row>
    <row r="1148" spans="1:12" x14ac:dyDescent="0.2">
      <c r="A1148">
        <v>1181</v>
      </c>
      <c r="B1148" t="s">
        <v>418</v>
      </c>
      <c r="C1148" t="s">
        <v>15</v>
      </c>
      <c r="D1148" s="1">
        <v>41639</v>
      </c>
      <c r="E1148" s="2">
        <v>19052046000</v>
      </c>
      <c r="F1148" s="2">
        <v>17641421000</v>
      </c>
      <c r="G1148" s="2">
        <v>467904000</v>
      </c>
      <c r="H1148" t="s">
        <v>12</v>
      </c>
      <c r="I1148" t="s">
        <v>12</v>
      </c>
      <c r="J1148" t="s">
        <v>59</v>
      </c>
      <c r="K1148" t="s">
        <v>419</v>
      </c>
      <c r="L1148">
        <f t="shared" si="17"/>
        <v>7.4040604352939354E-2</v>
      </c>
    </row>
    <row r="1149" spans="1:12" x14ac:dyDescent="0.2">
      <c r="A1149">
        <v>1182</v>
      </c>
      <c r="B1149" t="s">
        <v>418</v>
      </c>
      <c r="C1149" t="s">
        <v>16</v>
      </c>
      <c r="D1149" s="1">
        <v>42004</v>
      </c>
      <c r="E1149" s="2">
        <v>21105141000</v>
      </c>
      <c r="F1149" s="2">
        <v>19198615000</v>
      </c>
      <c r="G1149" s="2">
        <v>520805000</v>
      </c>
      <c r="H1149" t="s">
        <v>12</v>
      </c>
      <c r="I1149" t="s">
        <v>12</v>
      </c>
      <c r="J1149" t="s">
        <v>59</v>
      </c>
      <c r="K1149" t="s">
        <v>419</v>
      </c>
      <c r="L1149">
        <f t="shared" si="17"/>
        <v>9.03346724857228E-2</v>
      </c>
    </row>
    <row r="1150" spans="1:12" x14ac:dyDescent="0.2">
      <c r="A1150">
        <v>1183</v>
      </c>
      <c r="B1150" t="s">
        <v>418</v>
      </c>
      <c r="C1150" t="s">
        <v>17</v>
      </c>
      <c r="D1150" s="1">
        <v>42369</v>
      </c>
      <c r="E1150" s="2">
        <v>16439276000</v>
      </c>
      <c r="F1150" s="2">
        <v>14858014000</v>
      </c>
      <c r="G1150" s="2">
        <v>458989000</v>
      </c>
      <c r="H1150" t="s">
        <v>12</v>
      </c>
      <c r="I1150" t="s">
        <v>12</v>
      </c>
      <c r="J1150" t="s">
        <v>59</v>
      </c>
      <c r="K1150" t="s">
        <v>419</v>
      </c>
      <c r="L1150">
        <f t="shared" si="17"/>
        <v>9.6188055970348074E-2</v>
      </c>
    </row>
    <row r="1151" spans="1:12" x14ac:dyDescent="0.2">
      <c r="A1151">
        <v>1184</v>
      </c>
      <c r="B1151" t="s">
        <v>420</v>
      </c>
      <c r="C1151" t="s">
        <v>11</v>
      </c>
      <c r="D1151" s="1">
        <v>41301</v>
      </c>
      <c r="E1151" s="2">
        <v>4280159000</v>
      </c>
      <c r="F1151" s="2">
        <v>2053816000</v>
      </c>
      <c r="G1151" s="2">
        <v>430822000</v>
      </c>
      <c r="H1151" s="2">
        <v>1147282000</v>
      </c>
      <c r="I1151" t="s">
        <v>12</v>
      </c>
      <c r="J1151" t="s">
        <v>22</v>
      </c>
      <c r="K1151" t="s">
        <v>34</v>
      </c>
      <c r="L1151">
        <f t="shared" si="17"/>
        <v>0.52015427464260089</v>
      </c>
    </row>
    <row r="1152" spans="1:12" x14ac:dyDescent="0.2">
      <c r="A1152">
        <v>1185</v>
      </c>
      <c r="B1152" t="s">
        <v>420</v>
      </c>
      <c r="C1152" t="s">
        <v>15</v>
      </c>
      <c r="D1152" s="1">
        <v>41665</v>
      </c>
      <c r="E1152" s="2">
        <v>4130000000</v>
      </c>
      <c r="F1152" s="2">
        <v>1862000000</v>
      </c>
      <c r="G1152" s="2">
        <v>436000000</v>
      </c>
      <c r="H1152" s="2">
        <v>1336000000</v>
      </c>
      <c r="I1152" t="s">
        <v>12</v>
      </c>
      <c r="J1152" t="s">
        <v>22</v>
      </c>
      <c r="K1152" t="s">
        <v>34</v>
      </c>
      <c r="L1152">
        <f t="shared" si="17"/>
        <v>0.54915254237288136</v>
      </c>
    </row>
    <row r="1153" spans="1:12" x14ac:dyDescent="0.2">
      <c r="A1153">
        <v>1186</v>
      </c>
      <c r="B1153" t="s">
        <v>420</v>
      </c>
      <c r="C1153" t="s">
        <v>16</v>
      </c>
      <c r="D1153" s="1">
        <v>42029</v>
      </c>
      <c r="E1153" s="2">
        <v>4682000000</v>
      </c>
      <c r="F1153" s="2">
        <v>2083000000</v>
      </c>
      <c r="G1153" s="2">
        <v>480000000</v>
      </c>
      <c r="H1153" s="2">
        <v>1360000000</v>
      </c>
      <c r="I1153" t="s">
        <v>12</v>
      </c>
      <c r="J1153" t="s">
        <v>22</v>
      </c>
      <c r="K1153" t="s">
        <v>34</v>
      </c>
      <c r="L1153">
        <f t="shared" si="17"/>
        <v>0.55510465612985904</v>
      </c>
    </row>
    <row r="1154" spans="1:12" x14ac:dyDescent="0.2">
      <c r="A1154">
        <v>1187</v>
      </c>
      <c r="B1154" t="s">
        <v>420</v>
      </c>
      <c r="C1154" t="s">
        <v>17</v>
      </c>
      <c r="D1154" s="1">
        <v>42400</v>
      </c>
      <c r="E1154" s="2">
        <v>5010000000</v>
      </c>
      <c r="F1154" s="2">
        <v>2199000000</v>
      </c>
      <c r="G1154" s="2">
        <v>602000000</v>
      </c>
      <c r="H1154" s="2">
        <v>1331000000</v>
      </c>
      <c r="I1154" t="s">
        <v>12</v>
      </c>
      <c r="J1154" t="s">
        <v>22</v>
      </c>
      <c r="K1154" t="s">
        <v>34</v>
      </c>
      <c r="L1154">
        <f t="shared" si="17"/>
        <v>0.56107784431137731</v>
      </c>
    </row>
    <row r="1155" spans="1:12" x14ac:dyDescent="0.2">
      <c r="A1155">
        <v>1188</v>
      </c>
      <c r="B1155" t="s">
        <v>421</v>
      </c>
      <c r="C1155" t="s">
        <v>11</v>
      </c>
      <c r="D1155" s="1">
        <v>41274</v>
      </c>
      <c r="E1155" s="2">
        <v>5508500000</v>
      </c>
      <c r="F1155" s="2">
        <v>3414400000</v>
      </c>
      <c r="G1155" s="2">
        <v>1403500000</v>
      </c>
      <c r="H1155" t="s">
        <v>12</v>
      </c>
      <c r="I1155" t="s">
        <v>12</v>
      </c>
      <c r="J1155" t="s">
        <v>19</v>
      </c>
      <c r="K1155" t="s">
        <v>422</v>
      </c>
      <c r="L1155">
        <f t="shared" ref="L1155:L1218" si="18">1-F1155/E1155</f>
        <v>0.3801579377325951</v>
      </c>
    </row>
    <row r="1156" spans="1:12" x14ac:dyDescent="0.2">
      <c r="A1156">
        <v>1189</v>
      </c>
      <c r="B1156" t="s">
        <v>421</v>
      </c>
      <c r="C1156" t="s">
        <v>15</v>
      </c>
      <c r="D1156" s="1">
        <v>41639</v>
      </c>
      <c r="E1156" s="2">
        <v>5607000000</v>
      </c>
      <c r="F1156" s="2">
        <v>3482100000</v>
      </c>
      <c r="G1156" s="2">
        <v>1399500000</v>
      </c>
      <c r="H1156" t="s">
        <v>12</v>
      </c>
      <c r="I1156" t="s">
        <v>12</v>
      </c>
      <c r="J1156" t="s">
        <v>19</v>
      </c>
      <c r="K1156" t="s">
        <v>422</v>
      </c>
      <c r="L1156">
        <f t="shared" si="18"/>
        <v>0.37897271268057786</v>
      </c>
    </row>
    <row r="1157" spans="1:12" x14ac:dyDescent="0.2">
      <c r="A1157">
        <v>1190</v>
      </c>
      <c r="B1157" t="s">
        <v>421</v>
      </c>
      <c r="C1157" t="s">
        <v>16</v>
      </c>
      <c r="D1157" s="1">
        <v>42004</v>
      </c>
      <c r="E1157" s="2">
        <v>5727000000</v>
      </c>
      <c r="F1157" s="2">
        <v>3523600000</v>
      </c>
      <c r="G1157" s="2">
        <v>1545900000</v>
      </c>
      <c r="H1157" t="s">
        <v>12</v>
      </c>
      <c r="I1157" t="s">
        <v>12</v>
      </c>
      <c r="J1157" t="s">
        <v>19</v>
      </c>
      <c r="K1157" t="s">
        <v>422</v>
      </c>
      <c r="L1157">
        <f t="shared" si="18"/>
        <v>0.3847389558232932</v>
      </c>
    </row>
    <row r="1158" spans="1:12" x14ac:dyDescent="0.2">
      <c r="A1158">
        <v>1191</v>
      </c>
      <c r="B1158" t="s">
        <v>421</v>
      </c>
      <c r="C1158" t="s">
        <v>17</v>
      </c>
      <c r="D1158" s="1">
        <v>42369</v>
      </c>
      <c r="E1158" s="2">
        <v>5915700000</v>
      </c>
      <c r="F1158" s="2">
        <v>3611100000</v>
      </c>
      <c r="G1158" s="2">
        <v>1626000000</v>
      </c>
      <c r="H1158" t="s">
        <v>12</v>
      </c>
      <c r="I1158" t="s">
        <v>12</v>
      </c>
      <c r="J1158" t="s">
        <v>19</v>
      </c>
      <c r="K1158" t="s">
        <v>422</v>
      </c>
      <c r="L1158">
        <f t="shared" si="18"/>
        <v>0.38957350778437039</v>
      </c>
    </row>
    <row r="1159" spans="1:12" x14ac:dyDescent="0.2">
      <c r="A1159">
        <v>1200</v>
      </c>
      <c r="B1159" t="s">
        <v>423</v>
      </c>
      <c r="C1159" t="s">
        <v>11</v>
      </c>
      <c r="D1159" s="1">
        <v>41274</v>
      </c>
      <c r="E1159" s="2">
        <v>484581000</v>
      </c>
      <c r="F1159" s="2">
        <v>21306000</v>
      </c>
      <c r="G1159" s="2">
        <v>38123000</v>
      </c>
      <c r="H1159" t="s">
        <v>12</v>
      </c>
      <c r="I1159" s="2">
        <v>147515000</v>
      </c>
      <c r="J1159" t="s">
        <v>52</v>
      </c>
      <c r="K1159" t="s">
        <v>265</v>
      </c>
      <c r="L1159">
        <f t="shared" si="18"/>
        <v>0.95603211846935809</v>
      </c>
    </row>
    <row r="1160" spans="1:12" x14ac:dyDescent="0.2">
      <c r="A1160">
        <v>1201</v>
      </c>
      <c r="B1160" t="s">
        <v>423</v>
      </c>
      <c r="C1160" t="s">
        <v>15</v>
      </c>
      <c r="D1160" s="1">
        <v>41639</v>
      </c>
      <c r="E1160" s="2">
        <v>780209000</v>
      </c>
      <c r="F1160" s="2">
        <v>38851000</v>
      </c>
      <c r="G1160" s="2">
        <v>56881000</v>
      </c>
      <c r="H1160" t="s">
        <v>12</v>
      </c>
      <c r="I1160" s="2">
        <v>306769000</v>
      </c>
      <c r="J1160" t="s">
        <v>52</v>
      </c>
      <c r="K1160" t="s">
        <v>265</v>
      </c>
      <c r="L1160">
        <f t="shared" si="18"/>
        <v>0.95020436831669464</v>
      </c>
    </row>
    <row r="1161" spans="1:12" x14ac:dyDescent="0.2">
      <c r="A1161">
        <v>1202</v>
      </c>
      <c r="B1161" t="s">
        <v>423</v>
      </c>
      <c r="C1161" t="s">
        <v>16</v>
      </c>
      <c r="D1161" s="1">
        <v>42004</v>
      </c>
      <c r="E1161" s="2">
        <v>933505000</v>
      </c>
      <c r="F1161" s="2">
        <v>53871000</v>
      </c>
      <c r="G1161" s="2">
        <v>51085000</v>
      </c>
      <c r="H1161" t="s">
        <v>12</v>
      </c>
      <c r="I1161" s="2">
        <v>374661000</v>
      </c>
      <c r="J1161" t="s">
        <v>52</v>
      </c>
      <c r="K1161" t="s">
        <v>265</v>
      </c>
      <c r="L1161">
        <f t="shared" si="18"/>
        <v>0.94229168563639187</v>
      </c>
    </row>
    <row r="1162" spans="1:12" x14ac:dyDescent="0.2">
      <c r="A1162">
        <v>1203</v>
      </c>
      <c r="B1162" t="s">
        <v>423</v>
      </c>
      <c r="C1162" t="s">
        <v>17</v>
      </c>
      <c r="D1162" s="1">
        <v>42369</v>
      </c>
      <c r="E1162" s="2">
        <v>1023285000</v>
      </c>
      <c r="F1162" s="2">
        <v>55352000</v>
      </c>
      <c r="G1162" s="2">
        <v>49298000</v>
      </c>
      <c r="H1162" t="s">
        <v>12</v>
      </c>
      <c r="I1162" s="2">
        <v>409215000</v>
      </c>
      <c r="J1162" t="s">
        <v>52</v>
      </c>
      <c r="K1162" t="s">
        <v>265</v>
      </c>
      <c r="L1162">
        <f t="shared" si="18"/>
        <v>0.94590754286440237</v>
      </c>
    </row>
    <row r="1163" spans="1:12" x14ac:dyDescent="0.2">
      <c r="A1163">
        <v>1204</v>
      </c>
      <c r="B1163" t="s">
        <v>424</v>
      </c>
      <c r="C1163" t="s">
        <v>11</v>
      </c>
      <c r="D1163" s="1">
        <v>41274</v>
      </c>
      <c r="E1163" s="2">
        <v>10184121000</v>
      </c>
      <c r="F1163" s="2">
        <v>8540319000</v>
      </c>
      <c r="G1163" s="2">
        <v>491725000</v>
      </c>
      <c r="H1163" t="s">
        <v>12</v>
      </c>
      <c r="I1163" s="2">
        <v>205334000</v>
      </c>
      <c r="J1163" t="s">
        <v>83</v>
      </c>
      <c r="K1163" t="s">
        <v>84</v>
      </c>
      <c r="L1163">
        <f t="shared" si="18"/>
        <v>0.16140833362054519</v>
      </c>
    </row>
    <row r="1164" spans="1:12" x14ac:dyDescent="0.2">
      <c r="A1164">
        <v>1205</v>
      </c>
      <c r="B1164" t="s">
        <v>424</v>
      </c>
      <c r="C1164" t="s">
        <v>15</v>
      </c>
      <c r="D1164" s="1">
        <v>41639</v>
      </c>
      <c r="E1164" s="2">
        <v>11871879000</v>
      </c>
      <c r="F1164" s="2">
        <v>10222213000</v>
      </c>
      <c r="G1164" s="2">
        <v>541586000</v>
      </c>
      <c r="H1164" t="s">
        <v>12</v>
      </c>
      <c r="I1164" s="2">
        <v>239343000</v>
      </c>
      <c r="J1164" t="s">
        <v>83</v>
      </c>
      <c r="K1164" t="s">
        <v>84</v>
      </c>
      <c r="L1164">
        <f t="shared" si="18"/>
        <v>0.13895576260506026</v>
      </c>
    </row>
    <row r="1165" spans="1:12" x14ac:dyDescent="0.2">
      <c r="A1165">
        <v>1206</v>
      </c>
      <c r="B1165" t="s">
        <v>424</v>
      </c>
      <c r="C1165" t="s">
        <v>16</v>
      </c>
      <c r="D1165" s="1">
        <v>42004</v>
      </c>
      <c r="E1165" s="2">
        <v>12195091000</v>
      </c>
      <c r="F1165" s="2">
        <v>10088548000</v>
      </c>
      <c r="G1165" s="2">
        <v>674887000</v>
      </c>
      <c r="H1165" t="s">
        <v>12</v>
      </c>
      <c r="I1165" s="2">
        <v>294684000</v>
      </c>
      <c r="J1165" t="s">
        <v>83</v>
      </c>
      <c r="K1165" t="s">
        <v>84</v>
      </c>
      <c r="L1165">
        <f t="shared" si="18"/>
        <v>0.17273696440641562</v>
      </c>
    </row>
    <row r="1166" spans="1:12" x14ac:dyDescent="0.2">
      <c r="A1166">
        <v>1207</v>
      </c>
      <c r="B1166" t="s">
        <v>424</v>
      </c>
      <c r="C1166" t="s">
        <v>17</v>
      </c>
      <c r="D1166" s="1">
        <v>42369</v>
      </c>
      <c r="E1166" s="2">
        <v>7763206000</v>
      </c>
      <c r="F1166" s="2">
        <v>5641052000</v>
      </c>
      <c r="G1166" s="2">
        <v>693331000</v>
      </c>
      <c r="H1166" t="s">
        <v>12</v>
      </c>
      <c r="I1166" s="2">
        <v>354620000</v>
      </c>
      <c r="J1166" t="s">
        <v>83</v>
      </c>
      <c r="K1166" t="s">
        <v>84</v>
      </c>
      <c r="L1166">
        <f t="shared" si="18"/>
        <v>0.27336051626093649</v>
      </c>
    </row>
    <row r="1167" spans="1:12" x14ac:dyDescent="0.2">
      <c r="A1167">
        <v>1209</v>
      </c>
      <c r="B1167" t="s">
        <v>425</v>
      </c>
      <c r="C1167" t="s">
        <v>11</v>
      </c>
      <c r="D1167" s="1">
        <v>42004</v>
      </c>
      <c r="E1167" s="2">
        <v>15317800000</v>
      </c>
      <c r="F1167" s="2">
        <v>12602100000</v>
      </c>
      <c r="G1167" s="2">
        <v>477200000</v>
      </c>
      <c r="H1167" t="s">
        <v>12</v>
      </c>
      <c r="I1167" s="2">
        <v>294400000</v>
      </c>
      <c r="J1167" t="s">
        <v>19</v>
      </c>
      <c r="K1167" t="s">
        <v>323</v>
      </c>
      <c r="L1167">
        <f t="shared" si="18"/>
        <v>0.17729047252216379</v>
      </c>
    </row>
    <row r="1168" spans="1:12" x14ac:dyDescent="0.2">
      <c r="A1168">
        <v>1210</v>
      </c>
      <c r="B1168" t="s">
        <v>425</v>
      </c>
      <c r="C1168" t="s">
        <v>15</v>
      </c>
      <c r="D1168" s="1">
        <v>42369</v>
      </c>
      <c r="E1168" s="2">
        <v>15134400000</v>
      </c>
      <c r="F1168" s="2">
        <v>12491400000</v>
      </c>
      <c r="G1168" s="2">
        <v>431800000</v>
      </c>
      <c r="H1168" t="s">
        <v>12</v>
      </c>
      <c r="I1168" s="2">
        <v>291100000</v>
      </c>
      <c r="J1168" t="s">
        <v>19</v>
      </c>
      <c r="K1168" t="s">
        <v>323</v>
      </c>
      <c r="L1168">
        <f t="shared" si="18"/>
        <v>0.17463526799873141</v>
      </c>
    </row>
    <row r="1169" spans="1:12" x14ac:dyDescent="0.2">
      <c r="A1169">
        <v>1211</v>
      </c>
      <c r="B1169" t="s">
        <v>425</v>
      </c>
      <c r="C1169" t="s">
        <v>16</v>
      </c>
      <c r="D1169" s="1">
        <v>42735</v>
      </c>
      <c r="E1169" s="2">
        <v>15416900000</v>
      </c>
      <c r="F1169" s="2">
        <v>12671200000</v>
      </c>
      <c r="G1169" s="2">
        <v>443900000</v>
      </c>
      <c r="H1169" t="s">
        <v>12</v>
      </c>
      <c r="I1169" s="2">
        <v>292900000</v>
      </c>
      <c r="J1169" t="s">
        <v>19</v>
      </c>
      <c r="K1169" t="s">
        <v>323</v>
      </c>
      <c r="L1169">
        <f t="shared" si="18"/>
        <v>0.17809676394087004</v>
      </c>
    </row>
    <row r="1170" spans="1:12" x14ac:dyDescent="0.2">
      <c r="A1170">
        <v>1212</v>
      </c>
      <c r="B1170" t="s">
        <v>426</v>
      </c>
      <c r="C1170" t="s">
        <v>11</v>
      </c>
      <c r="D1170" s="1">
        <v>41274</v>
      </c>
      <c r="E1170" s="2">
        <v>6182184000</v>
      </c>
      <c r="F1170" s="2">
        <v>3084766000</v>
      </c>
      <c r="G1170" s="2">
        <v>2120025000</v>
      </c>
      <c r="H1170" t="s">
        <v>12</v>
      </c>
      <c r="I1170" t="s">
        <v>12</v>
      </c>
      <c r="J1170" t="s">
        <v>19</v>
      </c>
      <c r="K1170" t="s">
        <v>79</v>
      </c>
      <c r="L1170">
        <f t="shared" si="18"/>
        <v>0.50102326297632027</v>
      </c>
    </row>
    <row r="1171" spans="1:12" x14ac:dyDescent="0.2">
      <c r="A1171">
        <v>1213</v>
      </c>
      <c r="B1171" t="s">
        <v>426</v>
      </c>
      <c r="C1171" t="s">
        <v>15</v>
      </c>
      <c r="D1171" s="1">
        <v>41639</v>
      </c>
      <c r="E1171" s="2">
        <v>6649237000</v>
      </c>
      <c r="F1171" s="2">
        <v>3280236000</v>
      </c>
      <c r="G1171" s="2">
        <v>2265516000</v>
      </c>
      <c r="H1171" t="s">
        <v>12</v>
      </c>
      <c r="I1171" t="s">
        <v>12</v>
      </c>
      <c r="J1171" t="s">
        <v>19</v>
      </c>
      <c r="K1171" t="s">
        <v>79</v>
      </c>
      <c r="L1171">
        <f t="shared" si="18"/>
        <v>0.50667482599883262</v>
      </c>
    </row>
    <row r="1172" spans="1:12" x14ac:dyDescent="0.2">
      <c r="A1172">
        <v>1214</v>
      </c>
      <c r="B1172" t="s">
        <v>426</v>
      </c>
      <c r="C1172" t="s">
        <v>16</v>
      </c>
      <c r="D1172" s="1">
        <v>42004</v>
      </c>
      <c r="E1172" s="2">
        <v>7216081000</v>
      </c>
      <c r="F1172" s="2">
        <v>3507180000</v>
      </c>
      <c r="G1172" s="2">
        <v>2438527000</v>
      </c>
      <c r="H1172" t="s">
        <v>12</v>
      </c>
      <c r="I1172" t="s">
        <v>12</v>
      </c>
      <c r="J1172" t="s">
        <v>19</v>
      </c>
      <c r="K1172" t="s">
        <v>79</v>
      </c>
      <c r="L1172">
        <f t="shared" si="18"/>
        <v>0.51397718512306056</v>
      </c>
    </row>
    <row r="1173" spans="1:12" x14ac:dyDescent="0.2">
      <c r="A1173">
        <v>1215</v>
      </c>
      <c r="B1173" t="s">
        <v>426</v>
      </c>
      <c r="C1173" t="s">
        <v>17</v>
      </c>
      <c r="D1173" s="1">
        <v>42369</v>
      </c>
      <c r="E1173" s="2">
        <v>7966674000</v>
      </c>
      <c r="F1173" s="2">
        <v>3804031000</v>
      </c>
      <c r="G1173" s="2">
        <v>2648622000</v>
      </c>
      <c r="H1173" t="s">
        <v>12</v>
      </c>
      <c r="I1173" t="s">
        <v>12</v>
      </c>
      <c r="J1173" t="s">
        <v>19</v>
      </c>
      <c r="K1173" t="s">
        <v>79</v>
      </c>
      <c r="L1173">
        <f t="shared" si="18"/>
        <v>0.52250700857095445</v>
      </c>
    </row>
    <row r="1174" spans="1:12" x14ac:dyDescent="0.2">
      <c r="A1174">
        <v>1216</v>
      </c>
      <c r="B1174" t="s">
        <v>427</v>
      </c>
      <c r="C1174" t="s">
        <v>11</v>
      </c>
      <c r="D1174" s="1">
        <v>41274</v>
      </c>
      <c r="E1174" s="2">
        <v>20100000000</v>
      </c>
      <c r="F1174" s="2">
        <v>6530000000</v>
      </c>
      <c r="G1174" s="2">
        <v>1879000000</v>
      </c>
      <c r="H1174" t="s">
        <v>12</v>
      </c>
      <c r="I1174" s="2">
        <v>3585000000</v>
      </c>
      <c r="J1174" t="s">
        <v>83</v>
      </c>
      <c r="K1174" t="s">
        <v>84</v>
      </c>
      <c r="L1174">
        <f t="shared" si="18"/>
        <v>0.67512437810945269</v>
      </c>
    </row>
    <row r="1175" spans="1:12" x14ac:dyDescent="0.2">
      <c r="A1175">
        <v>1217</v>
      </c>
      <c r="B1175" t="s">
        <v>427</v>
      </c>
      <c r="C1175" t="s">
        <v>15</v>
      </c>
      <c r="D1175" s="1">
        <v>41639</v>
      </c>
      <c r="E1175" s="2">
        <v>20170000000</v>
      </c>
      <c r="F1175" s="2">
        <v>6497000000</v>
      </c>
      <c r="G1175" s="2">
        <v>2108000000</v>
      </c>
      <c r="H1175" t="s">
        <v>12</v>
      </c>
      <c r="I1175" s="2">
        <v>4203000000</v>
      </c>
      <c r="J1175" t="s">
        <v>83</v>
      </c>
      <c r="K1175" t="s">
        <v>84</v>
      </c>
      <c r="L1175">
        <f t="shared" si="18"/>
        <v>0.67788795240456123</v>
      </c>
    </row>
    <row r="1176" spans="1:12" x14ac:dyDescent="0.2">
      <c r="A1176">
        <v>1218</v>
      </c>
      <c r="B1176" t="s">
        <v>427</v>
      </c>
      <c r="C1176" t="s">
        <v>16</v>
      </c>
      <c r="D1176" s="1">
        <v>42004</v>
      </c>
      <c r="E1176" s="2">
        <v>19312000000</v>
      </c>
      <c r="F1176" s="2">
        <v>6803000000</v>
      </c>
      <c r="G1176" s="2">
        <v>2053000000</v>
      </c>
      <c r="H1176" t="s">
        <v>12</v>
      </c>
      <c r="I1176" s="2">
        <v>4261000000</v>
      </c>
      <c r="J1176" t="s">
        <v>83</v>
      </c>
      <c r="K1176" t="s">
        <v>84</v>
      </c>
      <c r="L1176">
        <f t="shared" si="18"/>
        <v>0.64773198011598998</v>
      </c>
    </row>
    <row r="1177" spans="1:12" x14ac:dyDescent="0.2">
      <c r="A1177">
        <v>1219</v>
      </c>
      <c r="B1177" t="s">
        <v>427</v>
      </c>
      <c r="C1177" t="s">
        <v>17</v>
      </c>
      <c r="D1177" s="1">
        <v>42369</v>
      </c>
      <c r="E1177" s="2">
        <v>12480000000</v>
      </c>
      <c r="F1177" s="2">
        <v>5804000000</v>
      </c>
      <c r="G1177" s="2">
        <v>1613000000</v>
      </c>
      <c r="H1177" t="s">
        <v>12</v>
      </c>
      <c r="I1177" s="2">
        <v>4544000000</v>
      </c>
      <c r="J1177" t="s">
        <v>83</v>
      </c>
      <c r="K1177" t="s">
        <v>84</v>
      </c>
      <c r="L1177">
        <f t="shared" si="18"/>
        <v>0.53493589743589742</v>
      </c>
    </row>
    <row r="1178" spans="1:12" x14ac:dyDescent="0.2">
      <c r="A1178">
        <v>1224</v>
      </c>
      <c r="B1178" t="s">
        <v>428</v>
      </c>
      <c r="C1178" t="s">
        <v>11</v>
      </c>
      <c r="D1178" s="1">
        <v>41274</v>
      </c>
      <c r="E1178" s="2">
        <v>1355300000</v>
      </c>
      <c r="F1178" s="2">
        <v>90800000</v>
      </c>
      <c r="G1178" s="2">
        <v>803800000</v>
      </c>
      <c r="H1178" t="s">
        <v>12</v>
      </c>
      <c r="I1178" s="2">
        <v>76000000</v>
      </c>
      <c r="J1178" t="s">
        <v>47</v>
      </c>
      <c r="K1178" t="s">
        <v>429</v>
      </c>
      <c r="L1178">
        <f t="shared" si="18"/>
        <v>0.93300376300450083</v>
      </c>
    </row>
    <row r="1179" spans="1:12" x14ac:dyDescent="0.2">
      <c r="A1179">
        <v>1225</v>
      </c>
      <c r="B1179" t="s">
        <v>428</v>
      </c>
      <c r="C1179" t="s">
        <v>15</v>
      </c>
      <c r="D1179" s="1">
        <v>41639</v>
      </c>
      <c r="E1179" s="2">
        <v>1346100000</v>
      </c>
      <c r="F1179" s="2">
        <v>81100000</v>
      </c>
      <c r="G1179" s="2">
        <v>812800000</v>
      </c>
      <c r="H1179" t="s">
        <v>12</v>
      </c>
      <c r="I1179" s="2">
        <v>69900000</v>
      </c>
      <c r="J1179" t="s">
        <v>47</v>
      </c>
      <c r="K1179" t="s">
        <v>429</v>
      </c>
      <c r="L1179">
        <f t="shared" si="18"/>
        <v>0.93975187578931729</v>
      </c>
    </row>
    <row r="1180" spans="1:12" x14ac:dyDescent="0.2">
      <c r="A1180">
        <v>1226</v>
      </c>
      <c r="B1180" t="s">
        <v>428</v>
      </c>
      <c r="C1180" t="s">
        <v>16</v>
      </c>
      <c r="D1180" s="1">
        <v>42004</v>
      </c>
      <c r="E1180" s="2">
        <v>1381400000</v>
      </c>
      <c r="F1180" s="2">
        <v>80900000</v>
      </c>
      <c r="G1180" s="2">
        <v>816700000</v>
      </c>
      <c r="H1180" t="s">
        <v>12</v>
      </c>
      <c r="I1180" s="2">
        <v>65400000</v>
      </c>
      <c r="J1180" t="s">
        <v>47</v>
      </c>
      <c r="K1180" t="s">
        <v>429</v>
      </c>
      <c r="L1180">
        <f t="shared" si="18"/>
        <v>0.94143622412045747</v>
      </c>
    </row>
    <row r="1181" spans="1:12" x14ac:dyDescent="0.2">
      <c r="A1181">
        <v>1227</v>
      </c>
      <c r="B1181" t="s">
        <v>428</v>
      </c>
      <c r="C1181" t="s">
        <v>17</v>
      </c>
      <c r="D1181" s="1">
        <v>42369</v>
      </c>
      <c r="E1181" s="2">
        <v>1421300000</v>
      </c>
      <c r="F1181" s="2">
        <v>95500000</v>
      </c>
      <c r="G1181" s="2">
        <v>836700000</v>
      </c>
      <c r="H1181" t="s">
        <v>12</v>
      </c>
      <c r="I1181" s="2">
        <v>57300000</v>
      </c>
      <c r="J1181" t="s">
        <v>47</v>
      </c>
      <c r="K1181" t="s">
        <v>429</v>
      </c>
      <c r="L1181">
        <f t="shared" si="18"/>
        <v>0.93280799268275527</v>
      </c>
    </row>
    <row r="1182" spans="1:12" x14ac:dyDescent="0.2">
      <c r="A1182">
        <v>1228</v>
      </c>
      <c r="B1182" t="s">
        <v>430</v>
      </c>
      <c r="C1182" t="s">
        <v>11</v>
      </c>
      <c r="D1182" s="1">
        <v>41274</v>
      </c>
      <c r="E1182" s="2">
        <v>3823713000</v>
      </c>
      <c r="F1182" s="2">
        <v>1582398000</v>
      </c>
      <c r="G1182" s="2">
        <v>1489735000</v>
      </c>
      <c r="H1182" s="2">
        <v>114250000</v>
      </c>
      <c r="I1182" t="s">
        <v>12</v>
      </c>
      <c r="J1182" t="s">
        <v>13</v>
      </c>
      <c r="K1182" t="s">
        <v>431</v>
      </c>
      <c r="L1182">
        <f t="shared" si="18"/>
        <v>0.58616193213245871</v>
      </c>
    </row>
    <row r="1183" spans="1:12" x14ac:dyDescent="0.2">
      <c r="A1183">
        <v>1229</v>
      </c>
      <c r="B1183" t="s">
        <v>430</v>
      </c>
      <c r="C1183" t="s">
        <v>15</v>
      </c>
      <c r="D1183" s="1">
        <v>41639</v>
      </c>
      <c r="E1183" s="2">
        <v>3791335000</v>
      </c>
      <c r="F1183" s="2">
        <v>1650622000</v>
      </c>
      <c r="G1183" s="2">
        <v>1420096000</v>
      </c>
      <c r="H1183" s="2">
        <v>110412000</v>
      </c>
      <c r="I1183" t="s">
        <v>12</v>
      </c>
      <c r="J1183" t="s">
        <v>13</v>
      </c>
      <c r="K1183" t="s">
        <v>431</v>
      </c>
      <c r="L1183">
        <f t="shared" si="18"/>
        <v>0.56463303823059685</v>
      </c>
    </row>
    <row r="1184" spans="1:12" x14ac:dyDescent="0.2">
      <c r="A1184">
        <v>1230</v>
      </c>
      <c r="B1184" t="s">
        <v>430</v>
      </c>
      <c r="C1184" t="s">
        <v>16</v>
      </c>
      <c r="D1184" s="1">
        <v>42004</v>
      </c>
      <c r="E1184" s="2">
        <v>3821504000</v>
      </c>
      <c r="F1184" s="2">
        <v>1680791000</v>
      </c>
      <c r="G1184" s="2">
        <v>1378400000</v>
      </c>
      <c r="H1184" s="2">
        <v>109931000</v>
      </c>
      <c r="I1184" t="s">
        <v>12</v>
      </c>
      <c r="J1184" t="s">
        <v>13</v>
      </c>
      <c r="K1184" t="s">
        <v>431</v>
      </c>
      <c r="L1184">
        <f t="shared" si="18"/>
        <v>0.56017552251678926</v>
      </c>
    </row>
    <row r="1185" spans="1:12" x14ac:dyDescent="0.2">
      <c r="A1185">
        <v>1231</v>
      </c>
      <c r="B1185" t="s">
        <v>430</v>
      </c>
      <c r="C1185" t="s">
        <v>17</v>
      </c>
      <c r="D1185" s="1">
        <v>42369</v>
      </c>
      <c r="E1185" s="2">
        <v>3578060000</v>
      </c>
      <c r="F1185" s="2">
        <v>1558591000</v>
      </c>
      <c r="G1185" s="2">
        <v>1279961000</v>
      </c>
      <c r="H1185" s="2">
        <v>110156000</v>
      </c>
      <c r="I1185" t="s">
        <v>12</v>
      </c>
      <c r="J1185" t="s">
        <v>13</v>
      </c>
      <c r="K1185" t="s">
        <v>431</v>
      </c>
      <c r="L1185">
        <f t="shared" si="18"/>
        <v>0.56440333588592706</v>
      </c>
    </row>
    <row r="1186" spans="1:12" x14ac:dyDescent="0.2">
      <c r="A1186">
        <v>1232</v>
      </c>
      <c r="B1186" t="s">
        <v>432</v>
      </c>
      <c r="C1186" t="s">
        <v>11</v>
      </c>
      <c r="D1186" s="1">
        <v>41274</v>
      </c>
      <c r="E1186" s="2">
        <v>16596800000</v>
      </c>
      <c r="F1186" s="2">
        <v>13908300000</v>
      </c>
      <c r="G1186" s="2">
        <v>571600000</v>
      </c>
      <c r="H1186" s="2">
        <v>279300000</v>
      </c>
      <c r="I1186" s="2">
        <v>517400000</v>
      </c>
      <c r="J1186" t="s">
        <v>13</v>
      </c>
      <c r="K1186" t="s">
        <v>127</v>
      </c>
      <c r="L1186">
        <f t="shared" si="18"/>
        <v>0.16198905813168807</v>
      </c>
    </row>
    <row r="1187" spans="1:12" x14ac:dyDescent="0.2">
      <c r="A1187">
        <v>1233</v>
      </c>
      <c r="B1187" t="s">
        <v>432</v>
      </c>
      <c r="C1187" t="s">
        <v>15</v>
      </c>
      <c r="D1187" s="1">
        <v>41639</v>
      </c>
      <c r="E1187" s="2">
        <v>16661000000</v>
      </c>
      <c r="F1187" s="2">
        <v>13900700000</v>
      </c>
      <c r="G1187" s="2">
        <v>559500000</v>
      </c>
      <c r="H1187" s="2">
        <v>251400000</v>
      </c>
      <c r="I1187" s="2">
        <v>571700000</v>
      </c>
      <c r="J1187" t="s">
        <v>13</v>
      </c>
      <c r="K1187" t="s">
        <v>127</v>
      </c>
      <c r="L1187">
        <f t="shared" si="18"/>
        <v>0.16567432927195247</v>
      </c>
    </row>
    <row r="1188" spans="1:12" x14ac:dyDescent="0.2">
      <c r="A1188">
        <v>1234</v>
      </c>
      <c r="B1188" t="s">
        <v>432</v>
      </c>
      <c r="C1188" t="s">
        <v>16</v>
      </c>
      <c r="D1188" s="1">
        <v>42004</v>
      </c>
      <c r="E1188" s="2">
        <v>18534400000</v>
      </c>
      <c r="F1188" s="2">
        <v>15481600000</v>
      </c>
      <c r="G1188" s="2">
        <v>561400000</v>
      </c>
      <c r="H1188" s="2">
        <v>215600000</v>
      </c>
      <c r="I1188" s="2">
        <v>588500000</v>
      </c>
      <c r="J1188" t="s">
        <v>13</v>
      </c>
      <c r="K1188" t="s">
        <v>127</v>
      </c>
      <c r="L1188">
        <f t="shared" si="18"/>
        <v>0.16470994475138123</v>
      </c>
    </row>
    <row r="1189" spans="1:12" x14ac:dyDescent="0.2">
      <c r="A1189">
        <v>1235</v>
      </c>
      <c r="B1189" t="s">
        <v>432</v>
      </c>
      <c r="C1189" t="s">
        <v>17</v>
      </c>
      <c r="D1189" s="1">
        <v>42369</v>
      </c>
      <c r="E1189" s="2">
        <v>18671300000</v>
      </c>
      <c r="F1189" s="2">
        <v>15292100000</v>
      </c>
      <c r="G1189" s="2">
        <v>541500000</v>
      </c>
      <c r="H1189" s="2">
        <v>239800000</v>
      </c>
      <c r="I1189" s="2">
        <v>583700000</v>
      </c>
      <c r="J1189" t="s">
        <v>13</v>
      </c>
      <c r="K1189" t="s">
        <v>127</v>
      </c>
      <c r="L1189">
        <f t="shared" si="18"/>
        <v>0.18098364870148298</v>
      </c>
    </row>
    <row r="1190" spans="1:12" x14ac:dyDescent="0.2">
      <c r="A1190">
        <v>1236</v>
      </c>
      <c r="B1190" t="s">
        <v>433</v>
      </c>
      <c r="C1190" t="s">
        <v>11</v>
      </c>
      <c r="D1190" s="1">
        <v>41639</v>
      </c>
      <c r="E1190" s="2">
        <v>15598000000</v>
      </c>
      <c r="F1190" s="2">
        <v>11759000000</v>
      </c>
      <c r="G1190" t="s">
        <v>12</v>
      </c>
      <c r="H1190" t="s">
        <v>12</v>
      </c>
      <c r="I1190" s="2">
        <v>2077000000</v>
      </c>
      <c r="J1190" t="s">
        <v>42</v>
      </c>
      <c r="K1190" t="s">
        <v>43</v>
      </c>
      <c r="L1190">
        <f t="shared" si="18"/>
        <v>0.24612129760225665</v>
      </c>
    </row>
    <row r="1191" spans="1:12" x14ac:dyDescent="0.2">
      <c r="A1191">
        <v>1237</v>
      </c>
      <c r="B1191" t="s">
        <v>433</v>
      </c>
      <c r="C1191" t="s">
        <v>15</v>
      </c>
      <c r="D1191" s="1">
        <v>42004</v>
      </c>
      <c r="E1191" s="2">
        <v>17090000000</v>
      </c>
      <c r="F1191" s="2">
        <v>12207000000</v>
      </c>
      <c r="G1191" t="s">
        <v>12</v>
      </c>
      <c r="H1191" t="s">
        <v>12</v>
      </c>
      <c r="I1191" s="2">
        <v>2433000000</v>
      </c>
      <c r="J1191" t="s">
        <v>42</v>
      </c>
      <c r="K1191" t="s">
        <v>43</v>
      </c>
      <c r="L1191">
        <f t="shared" si="18"/>
        <v>0.28572264482153309</v>
      </c>
    </row>
    <row r="1192" spans="1:12" x14ac:dyDescent="0.2">
      <c r="A1192">
        <v>1238</v>
      </c>
      <c r="B1192" t="s">
        <v>433</v>
      </c>
      <c r="C1192" t="s">
        <v>16</v>
      </c>
      <c r="D1192" s="1">
        <v>42369</v>
      </c>
      <c r="E1192" s="2">
        <v>16833000000</v>
      </c>
      <c r="F1192" s="2">
        <v>12713000000</v>
      </c>
      <c r="G1192" t="s">
        <v>12</v>
      </c>
      <c r="H1192" t="s">
        <v>12</v>
      </c>
      <c r="I1192" s="2">
        <v>2612000000</v>
      </c>
      <c r="J1192" t="s">
        <v>42</v>
      </c>
      <c r="K1192" t="s">
        <v>43</v>
      </c>
      <c r="L1192">
        <f t="shared" si="18"/>
        <v>0.24475732192716693</v>
      </c>
    </row>
    <row r="1193" spans="1:12" x14ac:dyDescent="0.2">
      <c r="A1193">
        <v>1239</v>
      </c>
      <c r="B1193" t="s">
        <v>433</v>
      </c>
      <c r="C1193" t="s">
        <v>17</v>
      </c>
      <c r="D1193" s="1">
        <v>42735</v>
      </c>
      <c r="E1193" s="2">
        <v>17666000000</v>
      </c>
      <c r="F1193" s="2">
        <v>12734000000</v>
      </c>
      <c r="G1193" t="s">
        <v>12</v>
      </c>
      <c r="H1193" t="s">
        <v>12</v>
      </c>
      <c r="I1193" s="2">
        <v>2755000000</v>
      </c>
      <c r="J1193" t="s">
        <v>42</v>
      </c>
      <c r="K1193" t="s">
        <v>43</v>
      </c>
      <c r="L1193">
        <f t="shared" si="18"/>
        <v>0.27918034642816714</v>
      </c>
    </row>
    <row r="1194" spans="1:12" x14ac:dyDescent="0.2">
      <c r="A1194">
        <v>1240</v>
      </c>
      <c r="B1194" t="s">
        <v>434</v>
      </c>
      <c r="C1194" t="s">
        <v>11</v>
      </c>
      <c r="D1194" s="1">
        <v>41274</v>
      </c>
      <c r="E1194" s="2">
        <v>5260956000</v>
      </c>
      <c r="F1194" s="2">
        <v>1177275000</v>
      </c>
      <c r="G1194" s="2">
        <v>2188747000</v>
      </c>
      <c r="H1194" t="s">
        <v>12</v>
      </c>
      <c r="I1194" s="2">
        <v>65141000</v>
      </c>
      <c r="J1194" t="s">
        <v>19</v>
      </c>
      <c r="K1194" t="s">
        <v>77</v>
      </c>
      <c r="L1194">
        <f t="shared" si="18"/>
        <v>0.77622413112749844</v>
      </c>
    </row>
    <row r="1195" spans="1:12" x14ac:dyDescent="0.2">
      <c r="A1195">
        <v>1241</v>
      </c>
      <c r="B1195" t="s">
        <v>434</v>
      </c>
      <c r="C1195" t="s">
        <v>15</v>
      </c>
      <c r="D1195" s="1">
        <v>41639</v>
      </c>
      <c r="E1195" s="2">
        <v>6793306000</v>
      </c>
      <c r="F1195" s="2">
        <v>1077420000</v>
      </c>
      <c r="G1195" s="2">
        <v>3185497000</v>
      </c>
      <c r="H1195" t="s">
        <v>12</v>
      </c>
      <c r="I1195" s="2">
        <v>117975000</v>
      </c>
      <c r="J1195" t="s">
        <v>19</v>
      </c>
      <c r="K1195" t="s">
        <v>77</v>
      </c>
      <c r="L1195">
        <f t="shared" si="18"/>
        <v>0.84139975440529247</v>
      </c>
    </row>
    <row r="1196" spans="1:12" x14ac:dyDescent="0.2">
      <c r="A1196">
        <v>1242</v>
      </c>
      <c r="B1196" t="s">
        <v>434</v>
      </c>
      <c r="C1196" t="s">
        <v>16</v>
      </c>
      <c r="D1196" s="1">
        <v>42004</v>
      </c>
      <c r="E1196" s="2">
        <v>8441971000</v>
      </c>
      <c r="F1196" s="2">
        <v>857841000</v>
      </c>
      <c r="G1196" s="2">
        <v>4302998000</v>
      </c>
      <c r="H1196" t="s">
        <v>12</v>
      </c>
      <c r="I1196" s="2">
        <v>207820000</v>
      </c>
      <c r="J1196" t="s">
        <v>19</v>
      </c>
      <c r="K1196" t="s">
        <v>77</v>
      </c>
      <c r="L1196">
        <f t="shared" si="18"/>
        <v>0.89838380160273001</v>
      </c>
    </row>
    <row r="1197" spans="1:12" x14ac:dyDescent="0.2">
      <c r="A1197">
        <v>1243</v>
      </c>
      <c r="B1197" t="s">
        <v>434</v>
      </c>
      <c r="C1197" t="s">
        <v>17</v>
      </c>
      <c r="D1197" s="1">
        <v>42369</v>
      </c>
      <c r="E1197" s="2">
        <v>9223987000</v>
      </c>
      <c r="F1197" s="2">
        <v>632180000</v>
      </c>
      <c r="G1197" s="2">
        <v>5060406000</v>
      </c>
      <c r="H1197" t="s">
        <v>12</v>
      </c>
      <c r="I1197" s="2">
        <v>272494000</v>
      </c>
      <c r="J1197" t="s">
        <v>19</v>
      </c>
      <c r="K1197" t="s">
        <v>77</v>
      </c>
      <c r="L1197">
        <f t="shared" si="18"/>
        <v>0.93146347669397189</v>
      </c>
    </row>
    <row r="1198" spans="1:12" x14ac:dyDescent="0.2">
      <c r="A1198">
        <v>1244</v>
      </c>
      <c r="B1198" t="s">
        <v>435</v>
      </c>
      <c r="C1198" t="s">
        <v>11</v>
      </c>
      <c r="D1198" s="1">
        <v>41391</v>
      </c>
      <c r="E1198" s="2">
        <v>3637212000</v>
      </c>
      <c r="F1198" s="2">
        <v>2446443000</v>
      </c>
      <c r="G1198" t="s">
        <v>12</v>
      </c>
      <c r="H1198" t="s">
        <v>12</v>
      </c>
      <c r="I1198" t="s">
        <v>12</v>
      </c>
      <c r="J1198" t="s">
        <v>25</v>
      </c>
      <c r="K1198" t="s">
        <v>166</v>
      </c>
      <c r="L1198">
        <f t="shared" si="18"/>
        <v>0.32738509605708987</v>
      </c>
    </row>
    <row r="1199" spans="1:12" x14ac:dyDescent="0.2">
      <c r="A1199">
        <v>1245</v>
      </c>
      <c r="B1199" t="s">
        <v>435</v>
      </c>
      <c r="C1199" t="s">
        <v>15</v>
      </c>
      <c r="D1199" s="1">
        <v>41755</v>
      </c>
      <c r="E1199" s="2">
        <v>3585141000</v>
      </c>
      <c r="F1199" s="2">
        <v>2566444000</v>
      </c>
      <c r="G1199" t="s">
        <v>12</v>
      </c>
      <c r="H1199" t="s">
        <v>12</v>
      </c>
      <c r="I1199" t="s">
        <v>12</v>
      </c>
      <c r="J1199" t="s">
        <v>25</v>
      </c>
      <c r="K1199" t="s">
        <v>166</v>
      </c>
      <c r="L1199">
        <f t="shared" si="18"/>
        <v>0.2841441940498296</v>
      </c>
    </row>
    <row r="1200" spans="1:12" x14ac:dyDescent="0.2">
      <c r="A1200">
        <v>1246</v>
      </c>
      <c r="B1200" t="s">
        <v>435</v>
      </c>
      <c r="C1200" t="s">
        <v>16</v>
      </c>
      <c r="D1200" s="1">
        <v>42119</v>
      </c>
      <c r="E1200" s="2">
        <v>3910865000</v>
      </c>
      <c r="F1200" s="2">
        <v>2850316000</v>
      </c>
      <c r="G1200" t="s">
        <v>12</v>
      </c>
      <c r="H1200" t="s">
        <v>12</v>
      </c>
      <c r="I1200" t="s">
        <v>12</v>
      </c>
      <c r="J1200" t="s">
        <v>25</v>
      </c>
      <c r="K1200" t="s">
        <v>166</v>
      </c>
      <c r="L1200">
        <f t="shared" si="18"/>
        <v>0.27118016091069364</v>
      </c>
    </row>
    <row r="1201" spans="1:12" x14ac:dyDescent="0.2">
      <c r="A1201">
        <v>1247</v>
      </c>
      <c r="B1201" t="s">
        <v>435</v>
      </c>
      <c r="C1201" t="s">
        <v>17</v>
      </c>
      <c r="D1201" s="1">
        <v>42490</v>
      </c>
      <c r="E1201" s="2">
        <v>5386703000</v>
      </c>
      <c r="F1201" s="2">
        <v>4063955000</v>
      </c>
      <c r="G1201" t="s">
        <v>12</v>
      </c>
      <c r="H1201" t="s">
        <v>12</v>
      </c>
      <c r="I1201" t="s">
        <v>12</v>
      </c>
      <c r="J1201" t="s">
        <v>25</v>
      </c>
      <c r="K1201" t="s">
        <v>166</v>
      </c>
      <c r="L1201">
        <f t="shared" si="18"/>
        <v>0.24555799716449933</v>
      </c>
    </row>
    <row r="1202" spans="1:12" x14ac:dyDescent="0.2">
      <c r="A1202">
        <v>1248</v>
      </c>
      <c r="B1202" t="s">
        <v>436</v>
      </c>
      <c r="C1202" t="s">
        <v>11</v>
      </c>
      <c r="D1202" s="1">
        <v>41274</v>
      </c>
      <c r="E1202" s="2">
        <v>9781000000</v>
      </c>
      <c r="F1202" s="2">
        <v>6351000000</v>
      </c>
      <c r="G1202" s="2">
        <v>98000000</v>
      </c>
      <c r="H1202" t="s">
        <v>12</v>
      </c>
      <c r="I1202" s="2">
        <v>1054000000</v>
      </c>
      <c r="J1202" t="s">
        <v>42</v>
      </c>
      <c r="K1202" t="s">
        <v>45</v>
      </c>
      <c r="L1202">
        <f t="shared" si="18"/>
        <v>0.35067988958184237</v>
      </c>
    </row>
    <row r="1203" spans="1:12" x14ac:dyDescent="0.2">
      <c r="A1203">
        <v>1249</v>
      </c>
      <c r="B1203" t="s">
        <v>436</v>
      </c>
      <c r="C1203" t="s">
        <v>15</v>
      </c>
      <c r="D1203" s="1">
        <v>41639</v>
      </c>
      <c r="E1203" s="2">
        <v>9968000000</v>
      </c>
      <c r="F1203" s="2">
        <v>6423000000</v>
      </c>
      <c r="G1203" s="2">
        <v>68000000</v>
      </c>
      <c r="H1203" t="s">
        <v>12</v>
      </c>
      <c r="I1203" s="2">
        <v>1178000000</v>
      </c>
      <c r="J1203" t="s">
        <v>42</v>
      </c>
      <c r="K1203" t="s">
        <v>45</v>
      </c>
      <c r="L1203">
        <f t="shared" si="18"/>
        <v>0.35563804173354741</v>
      </c>
    </row>
    <row r="1204" spans="1:12" x14ac:dyDescent="0.2">
      <c r="A1204">
        <v>1250</v>
      </c>
      <c r="B1204" t="s">
        <v>436</v>
      </c>
      <c r="C1204" t="s">
        <v>16</v>
      </c>
      <c r="D1204" s="1">
        <v>42004</v>
      </c>
      <c r="E1204" s="2">
        <v>10886000000</v>
      </c>
      <c r="F1204" s="2">
        <v>7036000000</v>
      </c>
      <c r="G1204" t="s">
        <v>12</v>
      </c>
      <c r="H1204" t="s">
        <v>12</v>
      </c>
      <c r="I1204" s="2">
        <v>1227000000</v>
      </c>
      <c r="J1204" t="s">
        <v>42</v>
      </c>
      <c r="K1204" t="s">
        <v>45</v>
      </c>
      <c r="L1204">
        <f t="shared" si="18"/>
        <v>0.35366525812970784</v>
      </c>
    </row>
    <row r="1205" spans="1:12" x14ac:dyDescent="0.2">
      <c r="A1205">
        <v>1251</v>
      </c>
      <c r="B1205" t="s">
        <v>436</v>
      </c>
      <c r="C1205" t="s">
        <v>17</v>
      </c>
      <c r="D1205" s="1">
        <v>42369</v>
      </c>
      <c r="E1205" s="2">
        <v>10415000000</v>
      </c>
      <c r="F1205" s="2">
        <v>6239000000</v>
      </c>
      <c r="G1205" t="s">
        <v>12</v>
      </c>
      <c r="H1205" t="s">
        <v>12</v>
      </c>
      <c r="I1205" s="2">
        <v>1214000000</v>
      </c>
      <c r="J1205" t="s">
        <v>42</v>
      </c>
      <c r="K1205" t="s">
        <v>45</v>
      </c>
      <c r="L1205">
        <f t="shared" si="18"/>
        <v>0.40096015362457993</v>
      </c>
    </row>
    <row r="1206" spans="1:12" x14ac:dyDescent="0.2">
      <c r="A1206">
        <v>1252</v>
      </c>
      <c r="B1206" t="s">
        <v>437</v>
      </c>
      <c r="C1206" t="s">
        <v>11</v>
      </c>
      <c r="D1206" s="1">
        <v>41636</v>
      </c>
      <c r="E1206" s="2">
        <v>66415000000</v>
      </c>
      <c r="F1206" s="2">
        <v>31243000000</v>
      </c>
      <c r="G1206" s="2">
        <v>25357000000</v>
      </c>
      <c r="H1206" t="s">
        <v>12</v>
      </c>
      <c r="I1206" s="2">
        <v>110000000</v>
      </c>
      <c r="J1206" t="s">
        <v>36</v>
      </c>
      <c r="K1206" t="s">
        <v>214</v>
      </c>
      <c r="L1206">
        <f t="shared" si="18"/>
        <v>0.52957916133403593</v>
      </c>
    </row>
    <row r="1207" spans="1:12" x14ac:dyDescent="0.2">
      <c r="A1207">
        <v>1253</v>
      </c>
      <c r="B1207" t="s">
        <v>437</v>
      </c>
      <c r="C1207" t="s">
        <v>15</v>
      </c>
      <c r="D1207" s="1">
        <v>42000</v>
      </c>
      <c r="E1207" s="2">
        <v>66683000000</v>
      </c>
      <c r="F1207" s="2">
        <v>31238000000</v>
      </c>
      <c r="G1207" s="2">
        <v>25772000000</v>
      </c>
      <c r="H1207" t="s">
        <v>12</v>
      </c>
      <c r="I1207" s="2">
        <v>92000000</v>
      </c>
      <c r="J1207" t="s">
        <v>36</v>
      </c>
      <c r="K1207" t="s">
        <v>214</v>
      </c>
      <c r="L1207">
        <f t="shared" si="18"/>
        <v>0.5315447715309749</v>
      </c>
    </row>
    <row r="1208" spans="1:12" x14ac:dyDescent="0.2">
      <c r="A1208">
        <v>1254</v>
      </c>
      <c r="B1208" t="s">
        <v>437</v>
      </c>
      <c r="C1208" t="s">
        <v>16</v>
      </c>
      <c r="D1208" s="1">
        <v>42364</v>
      </c>
      <c r="E1208" s="2">
        <v>63056000000</v>
      </c>
      <c r="F1208" s="2">
        <v>28731000000</v>
      </c>
      <c r="G1208" s="2">
        <v>24538000000</v>
      </c>
      <c r="H1208" t="s">
        <v>12</v>
      </c>
      <c r="I1208" s="2">
        <v>75000000</v>
      </c>
      <c r="J1208" t="s">
        <v>36</v>
      </c>
      <c r="K1208" t="s">
        <v>214</v>
      </c>
      <c r="L1208">
        <f t="shared" si="18"/>
        <v>0.54435739659984783</v>
      </c>
    </row>
    <row r="1209" spans="1:12" x14ac:dyDescent="0.2">
      <c r="A1209">
        <v>1255</v>
      </c>
      <c r="B1209" t="s">
        <v>437</v>
      </c>
      <c r="C1209" t="s">
        <v>17</v>
      </c>
      <c r="D1209" s="1">
        <v>42735</v>
      </c>
      <c r="E1209" s="2">
        <v>62799000000</v>
      </c>
      <c r="F1209" s="2">
        <v>28209000000</v>
      </c>
      <c r="G1209" s="2">
        <v>24735000000</v>
      </c>
      <c r="H1209" t="s">
        <v>12</v>
      </c>
      <c r="I1209" s="2">
        <v>70000000</v>
      </c>
      <c r="J1209" t="s">
        <v>36</v>
      </c>
      <c r="K1209" t="s">
        <v>214</v>
      </c>
      <c r="L1209">
        <f t="shared" si="18"/>
        <v>0.55080494912339373</v>
      </c>
    </row>
    <row r="1210" spans="1:12" x14ac:dyDescent="0.2">
      <c r="A1210">
        <v>1256</v>
      </c>
      <c r="B1210" t="s">
        <v>438</v>
      </c>
      <c r="C1210" t="s">
        <v>11</v>
      </c>
      <c r="D1210" s="1">
        <v>41274</v>
      </c>
      <c r="E1210" s="2">
        <v>54657000000</v>
      </c>
      <c r="F1210" s="2">
        <v>9821000000</v>
      </c>
      <c r="G1210" s="2">
        <v>15171000000</v>
      </c>
      <c r="H1210" s="2">
        <v>7482000000</v>
      </c>
      <c r="I1210" s="2">
        <v>5109000000</v>
      </c>
      <c r="J1210" t="s">
        <v>25</v>
      </c>
      <c r="K1210" t="s">
        <v>26</v>
      </c>
      <c r="L1210">
        <f t="shared" si="18"/>
        <v>0.8203157875477981</v>
      </c>
    </row>
    <row r="1211" spans="1:12" x14ac:dyDescent="0.2">
      <c r="A1211">
        <v>1257</v>
      </c>
      <c r="B1211" t="s">
        <v>438</v>
      </c>
      <c r="C1211" t="s">
        <v>15</v>
      </c>
      <c r="D1211" s="1">
        <v>41639</v>
      </c>
      <c r="E1211" s="2">
        <v>51584000000</v>
      </c>
      <c r="F1211" s="2">
        <v>9586000000</v>
      </c>
      <c r="G1211" s="2">
        <v>14355000000</v>
      </c>
      <c r="H1211" s="2">
        <v>6678000000</v>
      </c>
      <c r="I1211" s="2">
        <v>4599000000</v>
      </c>
      <c r="J1211" t="s">
        <v>25</v>
      </c>
      <c r="K1211" t="s">
        <v>26</v>
      </c>
      <c r="L1211">
        <f t="shared" si="18"/>
        <v>0.81416718362282881</v>
      </c>
    </row>
    <row r="1212" spans="1:12" x14ac:dyDescent="0.2">
      <c r="A1212">
        <v>1258</v>
      </c>
      <c r="B1212" t="s">
        <v>438</v>
      </c>
      <c r="C1212" t="s">
        <v>16</v>
      </c>
      <c r="D1212" s="1">
        <v>42004</v>
      </c>
      <c r="E1212" s="2">
        <v>49605000000</v>
      </c>
      <c r="F1212" s="2">
        <v>9577000000</v>
      </c>
      <c r="G1212" s="2">
        <v>14097000000</v>
      </c>
      <c r="H1212" s="2">
        <v>8393000000</v>
      </c>
      <c r="I1212" s="2">
        <v>4039000000</v>
      </c>
      <c r="J1212" t="s">
        <v>25</v>
      </c>
      <c r="K1212" t="s">
        <v>26</v>
      </c>
      <c r="L1212">
        <f t="shared" si="18"/>
        <v>0.80693478479991931</v>
      </c>
    </row>
    <row r="1213" spans="1:12" x14ac:dyDescent="0.2">
      <c r="A1213">
        <v>1259</v>
      </c>
      <c r="B1213" t="s">
        <v>438</v>
      </c>
      <c r="C1213" t="s">
        <v>17</v>
      </c>
      <c r="D1213" s="1">
        <v>42369</v>
      </c>
      <c r="E1213" s="2">
        <v>48851000000</v>
      </c>
      <c r="F1213" s="2">
        <v>9648000000</v>
      </c>
      <c r="G1213" s="2">
        <v>14809000000</v>
      </c>
      <c r="H1213" s="2">
        <v>7690000000</v>
      </c>
      <c r="I1213" s="2">
        <v>3728000000</v>
      </c>
      <c r="J1213" t="s">
        <v>25</v>
      </c>
      <c r="K1213" t="s">
        <v>26</v>
      </c>
      <c r="L1213">
        <f t="shared" si="18"/>
        <v>0.80250148410472666</v>
      </c>
    </row>
    <row r="1214" spans="1:12" x14ac:dyDescent="0.2">
      <c r="A1214">
        <v>1260</v>
      </c>
      <c r="B1214" t="s">
        <v>439</v>
      </c>
      <c r="C1214" t="s">
        <v>11</v>
      </c>
      <c r="D1214" s="1">
        <v>41639</v>
      </c>
      <c r="E1214" s="2">
        <v>9289500000</v>
      </c>
      <c r="F1214" s="2">
        <v>4683600000</v>
      </c>
      <c r="G1214" s="2">
        <v>189000000</v>
      </c>
      <c r="H1214" t="s">
        <v>12</v>
      </c>
      <c r="I1214" s="2">
        <v>3292900000</v>
      </c>
      <c r="J1214" t="s">
        <v>47</v>
      </c>
      <c r="K1214" t="s">
        <v>379</v>
      </c>
      <c r="L1214">
        <f t="shared" si="18"/>
        <v>0.49581785887292107</v>
      </c>
    </row>
    <row r="1215" spans="1:12" x14ac:dyDescent="0.2">
      <c r="A1215">
        <v>1261</v>
      </c>
      <c r="B1215" t="s">
        <v>439</v>
      </c>
      <c r="C1215" t="s">
        <v>15</v>
      </c>
      <c r="D1215" s="1">
        <v>42004</v>
      </c>
      <c r="E1215" s="2">
        <v>10477600000</v>
      </c>
      <c r="F1215" s="2">
        <v>5231000000</v>
      </c>
      <c r="G1215" s="2">
        <v>177400000</v>
      </c>
      <c r="H1215" t="s">
        <v>12</v>
      </c>
      <c r="I1215" s="2">
        <v>3574300000</v>
      </c>
      <c r="J1215" t="s">
        <v>47</v>
      </c>
      <c r="K1215" t="s">
        <v>379</v>
      </c>
      <c r="L1215">
        <f t="shared" si="18"/>
        <v>0.50074444529281514</v>
      </c>
    </row>
    <row r="1216" spans="1:12" x14ac:dyDescent="0.2">
      <c r="A1216">
        <v>1262</v>
      </c>
      <c r="B1216" t="s">
        <v>439</v>
      </c>
      <c r="C1216" t="s">
        <v>16</v>
      </c>
      <c r="D1216" s="1">
        <v>42369</v>
      </c>
      <c r="E1216" s="2">
        <v>11964400000</v>
      </c>
      <c r="F1216" s="2">
        <v>6697700000</v>
      </c>
      <c r="G1216" s="2">
        <v>163500000</v>
      </c>
      <c r="H1216" t="s">
        <v>12</v>
      </c>
      <c r="I1216" s="2">
        <v>3672400000</v>
      </c>
      <c r="J1216" t="s">
        <v>47</v>
      </c>
      <c r="K1216" t="s">
        <v>379</v>
      </c>
      <c r="L1216">
        <f t="shared" si="18"/>
        <v>0.44019758617231119</v>
      </c>
    </row>
    <row r="1217" spans="1:12" x14ac:dyDescent="0.2">
      <c r="A1217">
        <v>1263</v>
      </c>
      <c r="B1217" t="s">
        <v>439</v>
      </c>
      <c r="C1217" t="s">
        <v>17</v>
      </c>
      <c r="D1217" s="1">
        <v>42735</v>
      </c>
      <c r="E1217" s="2">
        <v>12394100000</v>
      </c>
      <c r="F1217" s="2">
        <v>6913200000</v>
      </c>
      <c r="G1217" s="2">
        <v>156600000</v>
      </c>
      <c r="H1217" t="s">
        <v>12</v>
      </c>
      <c r="I1217" s="2">
        <v>3732600000</v>
      </c>
      <c r="J1217" t="s">
        <v>47</v>
      </c>
      <c r="K1217" t="s">
        <v>379</v>
      </c>
      <c r="L1217">
        <f t="shared" si="18"/>
        <v>0.44221847491951816</v>
      </c>
    </row>
    <row r="1218" spans="1:12" x14ac:dyDescent="0.2">
      <c r="A1218">
        <v>1264</v>
      </c>
      <c r="B1218" t="s">
        <v>440</v>
      </c>
      <c r="C1218" t="s">
        <v>11</v>
      </c>
      <c r="D1218" s="1">
        <v>41639</v>
      </c>
      <c r="E1218" s="2">
        <v>2104745000</v>
      </c>
      <c r="F1218" s="2">
        <v>155355000</v>
      </c>
      <c r="G1218" s="2">
        <v>346393000</v>
      </c>
      <c r="H1218" s="2">
        <v>859947000</v>
      </c>
      <c r="I1218" t="s">
        <v>12</v>
      </c>
      <c r="J1218" t="s">
        <v>36</v>
      </c>
      <c r="K1218" t="s">
        <v>170</v>
      </c>
      <c r="L1218">
        <f t="shared" si="18"/>
        <v>0.92618820807271185</v>
      </c>
    </row>
    <row r="1219" spans="1:12" x14ac:dyDescent="0.2">
      <c r="A1219">
        <v>1265</v>
      </c>
      <c r="B1219" t="s">
        <v>440</v>
      </c>
      <c r="C1219" t="s">
        <v>15</v>
      </c>
      <c r="D1219" s="1">
        <v>42004</v>
      </c>
      <c r="E1219" s="2">
        <v>2819557000</v>
      </c>
      <c r="F1219" s="2">
        <v>205018000</v>
      </c>
      <c r="G1219" s="2">
        <v>519267000</v>
      </c>
      <c r="H1219" s="2">
        <v>1271353000</v>
      </c>
      <c r="I1219" t="s">
        <v>12</v>
      </c>
      <c r="J1219" t="s">
        <v>36</v>
      </c>
      <c r="K1219" t="s">
        <v>170</v>
      </c>
      <c r="L1219">
        <f t="shared" ref="L1219:L1282" si="19">1-F1219/E1219</f>
        <v>0.92728715894021652</v>
      </c>
    </row>
    <row r="1220" spans="1:12" x14ac:dyDescent="0.2">
      <c r="A1220">
        <v>1266</v>
      </c>
      <c r="B1220" t="s">
        <v>440</v>
      </c>
      <c r="C1220" t="s">
        <v>16</v>
      </c>
      <c r="D1220" s="1">
        <v>42369</v>
      </c>
      <c r="E1220" s="2">
        <v>4103728000</v>
      </c>
      <c r="F1220" s="2">
        <v>392709000</v>
      </c>
      <c r="G1220" s="2">
        <v>838526000</v>
      </c>
      <c r="H1220" s="2">
        <v>1620577000</v>
      </c>
      <c r="I1220" t="s">
        <v>12</v>
      </c>
      <c r="J1220" t="s">
        <v>36</v>
      </c>
      <c r="K1220" t="s">
        <v>170</v>
      </c>
      <c r="L1220">
        <f t="shared" si="19"/>
        <v>0.90430433011154732</v>
      </c>
    </row>
    <row r="1221" spans="1:12" x14ac:dyDescent="0.2">
      <c r="A1221">
        <v>1267</v>
      </c>
      <c r="B1221" t="s">
        <v>440</v>
      </c>
      <c r="C1221" t="s">
        <v>17</v>
      </c>
      <c r="D1221" s="1">
        <v>42735</v>
      </c>
      <c r="E1221" s="2">
        <v>4860427000</v>
      </c>
      <c r="F1221" s="2">
        <v>299694000</v>
      </c>
      <c r="G1221" s="2">
        <v>1177697000</v>
      </c>
      <c r="H1221" s="2">
        <v>2052295000</v>
      </c>
      <c r="I1221" t="s">
        <v>12</v>
      </c>
      <c r="J1221" t="s">
        <v>36</v>
      </c>
      <c r="K1221" t="s">
        <v>170</v>
      </c>
      <c r="L1221">
        <f t="shared" si="19"/>
        <v>0.93833998535519614</v>
      </c>
    </row>
    <row r="1222" spans="1:12" x14ac:dyDescent="0.2">
      <c r="A1222">
        <v>1268</v>
      </c>
      <c r="B1222" t="s">
        <v>441</v>
      </c>
      <c r="C1222" t="s">
        <v>11</v>
      </c>
      <c r="D1222" s="1">
        <v>41274</v>
      </c>
      <c r="E1222" s="2">
        <v>17083900000</v>
      </c>
      <c r="F1222" s="2">
        <v>15590900000</v>
      </c>
      <c r="G1222" s="2">
        <v>15400000</v>
      </c>
      <c r="H1222" t="s">
        <v>12</v>
      </c>
      <c r="I1222" s="2">
        <v>36100000</v>
      </c>
      <c r="J1222" t="s">
        <v>47</v>
      </c>
      <c r="K1222" t="s">
        <v>50</v>
      </c>
      <c r="L1222">
        <f t="shared" si="19"/>
        <v>8.7392223087234155E-2</v>
      </c>
    </row>
    <row r="1223" spans="1:12" x14ac:dyDescent="0.2">
      <c r="A1223">
        <v>1269</v>
      </c>
      <c r="B1223" t="s">
        <v>441</v>
      </c>
      <c r="C1223" t="s">
        <v>15</v>
      </c>
      <c r="D1223" s="1">
        <v>41639</v>
      </c>
      <c r="E1223" s="2">
        <v>18170900000</v>
      </c>
      <c r="F1223" s="2">
        <v>16275100000</v>
      </c>
      <c r="G1223" s="2">
        <v>18800000</v>
      </c>
      <c r="H1223" t="s">
        <v>12</v>
      </c>
      <c r="I1223" s="2">
        <v>38800000</v>
      </c>
      <c r="J1223" t="s">
        <v>47</v>
      </c>
      <c r="K1223" t="s">
        <v>50</v>
      </c>
      <c r="L1223">
        <f t="shared" si="19"/>
        <v>0.10433165115651954</v>
      </c>
    </row>
    <row r="1224" spans="1:12" x14ac:dyDescent="0.2">
      <c r="A1224">
        <v>1270</v>
      </c>
      <c r="B1224" t="s">
        <v>441</v>
      </c>
      <c r="C1224" t="s">
        <v>16</v>
      </c>
      <c r="D1224" s="1">
        <v>42004</v>
      </c>
      <c r="E1224" s="2">
        <v>19391400000</v>
      </c>
      <c r="F1224" s="2">
        <v>17297300000</v>
      </c>
      <c r="G1224" s="2">
        <v>18900000</v>
      </c>
      <c r="H1224" t="s">
        <v>12</v>
      </c>
      <c r="I1224" s="2">
        <v>50900000</v>
      </c>
      <c r="J1224" t="s">
        <v>47</v>
      </c>
      <c r="K1224" t="s">
        <v>50</v>
      </c>
      <c r="L1224">
        <f t="shared" si="19"/>
        <v>0.10799117134399783</v>
      </c>
    </row>
    <row r="1225" spans="1:12" x14ac:dyDescent="0.2">
      <c r="A1225">
        <v>1271</v>
      </c>
      <c r="B1225" t="s">
        <v>441</v>
      </c>
      <c r="C1225" t="s">
        <v>17</v>
      </c>
      <c r="D1225" s="1">
        <v>42369</v>
      </c>
      <c r="E1225" s="2">
        <v>20853800000</v>
      </c>
      <c r="F1225" s="2">
        <v>18705900000</v>
      </c>
      <c r="G1225" s="2">
        <v>22800000</v>
      </c>
      <c r="H1225" t="s">
        <v>12</v>
      </c>
      <c r="I1225" s="2">
        <v>77500000</v>
      </c>
      <c r="J1225" t="s">
        <v>47</v>
      </c>
      <c r="K1225" t="s">
        <v>50</v>
      </c>
      <c r="L1225">
        <f t="shared" si="19"/>
        <v>0.10299801475030934</v>
      </c>
    </row>
    <row r="1226" spans="1:12" x14ac:dyDescent="0.2">
      <c r="A1226">
        <v>1272</v>
      </c>
      <c r="B1226" t="s">
        <v>442</v>
      </c>
      <c r="C1226" t="s">
        <v>11</v>
      </c>
      <c r="D1226" s="1">
        <v>41455</v>
      </c>
      <c r="E1226" s="2">
        <v>13015704000</v>
      </c>
      <c r="F1226" s="2">
        <v>10086675000</v>
      </c>
      <c r="G1226" s="2">
        <v>1554973000</v>
      </c>
      <c r="H1226" t="s">
        <v>12</v>
      </c>
      <c r="I1226" t="s">
        <v>12</v>
      </c>
      <c r="J1226" t="s">
        <v>13</v>
      </c>
      <c r="K1226" t="s">
        <v>164</v>
      </c>
      <c r="L1226">
        <f t="shared" si="19"/>
        <v>0.22503807707981072</v>
      </c>
    </row>
    <row r="1227" spans="1:12" x14ac:dyDescent="0.2">
      <c r="A1227">
        <v>1273</v>
      </c>
      <c r="B1227" t="s">
        <v>442</v>
      </c>
      <c r="C1227" t="s">
        <v>15</v>
      </c>
      <c r="D1227" s="1">
        <v>41820</v>
      </c>
      <c r="E1227" s="2">
        <v>13215971000</v>
      </c>
      <c r="F1227" s="2">
        <v>10188227000</v>
      </c>
      <c r="G1227" s="2">
        <v>1633992000</v>
      </c>
      <c r="H1227" t="s">
        <v>12</v>
      </c>
      <c r="I1227" t="s">
        <v>12</v>
      </c>
      <c r="J1227" t="s">
        <v>13</v>
      </c>
      <c r="K1227" t="s">
        <v>164</v>
      </c>
      <c r="L1227">
        <f t="shared" si="19"/>
        <v>0.22909735501084261</v>
      </c>
    </row>
    <row r="1228" spans="1:12" x14ac:dyDescent="0.2">
      <c r="A1228">
        <v>1274</v>
      </c>
      <c r="B1228" t="s">
        <v>442</v>
      </c>
      <c r="C1228" t="s">
        <v>16</v>
      </c>
      <c r="D1228" s="1">
        <v>42185</v>
      </c>
      <c r="E1228" s="2">
        <v>12711744000</v>
      </c>
      <c r="F1228" s="2">
        <v>9655245000</v>
      </c>
      <c r="G1228" s="2">
        <v>1544746000</v>
      </c>
      <c r="H1228" t="s">
        <v>12</v>
      </c>
      <c r="I1228" t="s">
        <v>12</v>
      </c>
      <c r="J1228" t="s">
        <v>13</v>
      </c>
      <c r="K1228" t="s">
        <v>164</v>
      </c>
      <c r="L1228">
        <f t="shared" si="19"/>
        <v>0.24044686551271011</v>
      </c>
    </row>
    <row r="1229" spans="1:12" x14ac:dyDescent="0.2">
      <c r="A1229">
        <v>1275</v>
      </c>
      <c r="B1229" t="s">
        <v>442</v>
      </c>
      <c r="C1229" t="s">
        <v>17</v>
      </c>
      <c r="D1229" s="1">
        <v>42551</v>
      </c>
      <c r="E1229" s="2">
        <v>11360753000</v>
      </c>
      <c r="F1229" s="2">
        <v>8823384000</v>
      </c>
      <c r="G1229" s="2">
        <v>1359360000</v>
      </c>
      <c r="H1229" t="s">
        <v>12</v>
      </c>
      <c r="I1229" t="s">
        <v>12</v>
      </c>
      <c r="J1229" t="s">
        <v>13</v>
      </c>
      <c r="K1229" t="s">
        <v>164</v>
      </c>
      <c r="L1229">
        <f t="shared" si="19"/>
        <v>0.22334514270312888</v>
      </c>
    </row>
    <row r="1230" spans="1:12" x14ac:dyDescent="0.2">
      <c r="A1230">
        <v>1276</v>
      </c>
      <c r="B1230" t="s">
        <v>443</v>
      </c>
      <c r="C1230" t="s">
        <v>11</v>
      </c>
      <c r="D1230" s="1">
        <v>41639</v>
      </c>
      <c r="E1230" s="2">
        <v>5679595000</v>
      </c>
      <c r="F1230" s="2">
        <v>4507196000</v>
      </c>
      <c r="G1230" s="2">
        <v>568500000</v>
      </c>
      <c r="H1230" t="s">
        <v>12</v>
      </c>
      <c r="I1230" t="s">
        <v>12</v>
      </c>
      <c r="J1230" t="s">
        <v>19</v>
      </c>
      <c r="K1230" t="s">
        <v>201</v>
      </c>
      <c r="L1230">
        <f t="shared" si="19"/>
        <v>0.20642299318877488</v>
      </c>
    </row>
    <row r="1231" spans="1:12" x14ac:dyDescent="0.2">
      <c r="A1231">
        <v>1277</v>
      </c>
      <c r="B1231" t="s">
        <v>443</v>
      </c>
      <c r="C1231" t="s">
        <v>15</v>
      </c>
      <c r="D1231" s="1">
        <v>42004</v>
      </c>
      <c r="E1231" s="2">
        <v>5822363000</v>
      </c>
      <c r="F1231" s="2">
        <v>4244479000</v>
      </c>
      <c r="G1231" s="2">
        <v>861390000</v>
      </c>
      <c r="H1231" t="s">
        <v>12</v>
      </c>
      <c r="I1231" t="s">
        <v>12</v>
      </c>
      <c r="J1231" t="s">
        <v>19</v>
      </c>
      <c r="K1231" t="s">
        <v>201</v>
      </c>
      <c r="L1231">
        <f t="shared" si="19"/>
        <v>0.27100405797439975</v>
      </c>
    </row>
    <row r="1232" spans="1:12" x14ac:dyDescent="0.2">
      <c r="A1232">
        <v>1278</v>
      </c>
      <c r="B1232" t="s">
        <v>443</v>
      </c>
      <c r="C1232" t="s">
        <v>16</v>
      </c>
      <c r="D1232" s="1">
        <v>42369</v>
      </c>
      <c r="E1232" s="2">
        <v>5981964000</v>
      </c>
      <c r="F1232" s="2">
        <v>4353850000</v>
      </c>
      <c r="G1232" s="2">
        <v>794728000</v>
      </c>
      <c r="H1232" t="s">
        <v>12</v>
      </c>
      <c r="I1232" t="s">
        <v>12</v>
      </c>
      <c r="J1232" t="s">
        <v>19</v>
      </c>
      <c r="K1232" t="s">
        <v>201</v>
      </c>
      <c r="L1232">
        <f t="shared" si="19"/>
        <v>0.27217047778956882</v>
      </c>
    </row>
    <row r="1233" spans="1:12" x14ac:dyDescent="0.2">
      <c r="A1233">
        <v>1279</v>
      </c>
      <c r="B1233" t="s">
        <v>443</v>
      </c>
      <c r="C1233" t="s">
        <v>17</v>
      </c>
      <c r="D1233" s="1">
        <v>42735</v>
      </c>
      <c r="E1233" s="2">
        <v>7668476000</v>
      </c>
      <c r="F1233" s="2">
        <v>5728662000</v>
      </c>
      <c r="G1233" s="2">
        <v>957150000</v>
      </c>
      <c r="H1233" t="s">
        <v>12</v>
      </c>
      <c r="I1233" t="s">
        <v>12</v>
      </c>
      <c r="J1233" t="s">
        <v>19</v>
      </c>
      <c r="K1233" t="s">
        <v>201</v>
      </c>
      <c r="L1233">
        <f t="shared" si="19"/>
        <v>0.25295951894483337</v>
      </c>
    </row>
    <row r="1234" spans="1:12" x14ac:dyDescent="0.2">
      <c r="A1234">
        <v>1280</v>
      </c>
      <c r="B1234" t="s">
        <v>444</v>
      </c>
      <c r="C1234" t="s">
        <v>11</v>
      </c>
      <c r="D1234" s="1">
        <v>41273</v>
      </c>
      <c r="E1234" s="2">
        <v>2105188000</v>
      </c>
      <c r="F1234" s="2">
        <v>1143659000</v>
      </c>
      <c r="G1234" s="2">
        <v>627370000</v>
      </c>
      <c r="H1234" s="2">
        <v>131835000</v>
      </c>
      <c r="I1234" t="s">
        <v>12</v>
      </c>
      <c r="J1234" t="s">
        <v>25</v>
      </c>
      <c r="K1234" t="s">
        <v>30</v>
      </c>
      <c r="L1234">
        <f t="shared" si="19"/>
        <v>0.4567425807101313</v>
      </c>
    </row>
    <row r="1235" spans="1:12" x14ac:dyDescent="0.2">
      <c r="A1235">
        <v>1281</v>
      </c>
      <c r="B1235" t="s">
        <v>444</v>
      </c>
      <c r="C1235" t="s">
        <v>15</v>
      </c>
      <c r="D1235" s="1">
        <v>41637</v>
      </c>
      <c r="E1235" s="2">
        <v>2157586000</v>
      </c>
      <c r="F1235" s="2">
        <v>1181444000</v>
      </c>
      <c r="G1235" s="2">
        <v>581898000</v>
      </c>
      <c r="H1235" s="2">
        <v>132400000</v>
      </c>
      <c r="I1235" t="s">
        <v>12</v>
      </c>
      <c r="J1235" t="s">
        <v>25</v>
      </c>
      <c r="K1235" t="s">
        <v>30</v>
      </c>
      <c r="L1235">
        <f t="shared" si="19"/>
        <v>0.45242321742910829</v>
      </c>
    </row>
    <row r="1236" spans="1:12" x14ac:dyDescent="0.2">
      <c r="A1236">
        <v>1282</v>
      </c>
      <c r="B1236" t="s">
        <v>444</v>
      </c>
      <c r="C1236" t="s">
        <v>16</v>
      </c>
      <c r="D1236" s="1">
        <v>42001</v>
      </c>
      <c r="E1236" s="2">
        <v>2237219000</v>
      </c>
      <c r="F1236" s="2">
        <v>1232611000</v>
      </c>
      <c r="G1236" s="2">
        <v>659335000</v>
      </c>
      <c r="H1236" s="2">
        <v>121141000</v>
      </c>
      <c r="I1236" t="s">
        <v>12</v>
      </c>
      <c r="J1236" t="s">
        <v>25</v>
      </c>
      <c r="K1236" t="s">
        <v>30</v>
      </c>
      <c r="L1236">
        <f t="shared" si="19"/>
        <v>0.44904320944887377</v>
      </c>
    </row>
    <row r="1237" spans="1:12" x14ac:dyDescent="0.2">
      <c r="A1237">
        <v>1283</v>
      </c>
      <c r="B1237" t="s">
        <v>444</v>
      </c>
      <c r="C1237" t="s">
        <v>17</v>
      </c>
      <c r="D1237" s="1">
        <v>42372</v>
      </c>
      <c r="E1237" s="2">
        <v>2262359000</v>
      </c>
      <c r="F1237" s="2">
        <v>1237859000</v>
      </c>
      <c r="G1237" s="2">
        <v>598848000</v>
      </c>
      <c r="H1237" s="2">
        <v>125928000</v>
      </c>
      <c r="I1237" t="s">
        <v>12</v>
      </c>
      <c r="J1237" t="s">
        <v>25</v>
      </c>
      <c r="K1237" t="s">
        <v>30</v>
      </c>
      <c r="L1237">
        <f t="shared" si="19"/>
        <v>0.45284590111472145</v>
      </c>
    </row>
    <row r="1238" spans="1:12" x14ac:dyDescent="0.2">
      <c r="A1238">
        <v>1284</v>
      </c>
      <c r="B1238" t="s">
        <v>445</v>
      </c>
      <c r="C1238" t="s">
        <v>11</v>
      </c>
      <c r="D1238" s="1">
        <v>41639</v>
      </c>
      <c r="E1238" s="2">
        <v>80029000000</v>
      </c>
      <c r="F1238" s="2">
        <v>59222000000</v>
      </c>
      <c r="G1238" s="2">
        <v>6890000000</v>
      </c>
      <c r="H1238" t="s">
        <v>12</v>
      </c>
      <c r="I1238" s="2">
        <v>93000000</v>
      </c>
      <c r="J1238" t="s">
        <v>36</v>
      </c>
      <c r="K1238" t="s">
        <v>393</v>
      </c>
      <c r="L1238">
        <f t="shared" si="19"/>
        <v>0.25999325244598837</v>
      </c>
    </row>
    <row r="1239" spans="1:12" x14ac:dyDescent="0.2">
      <c r="A1239">
        <v>1285</v>
      </c>
      <c r="B1239" t="s">
        <v>445</v>
      </c>
      <c r="C1239" t="s">
        <v>15</v>
      </c>
      <c r="D1239" s="1">
        <v>42004</v>
      </c>
      <c r="E1239" s="2">
        <v>80106000000</v>
      </c>
      <c r="F1239" s="2">
        <v>60775000000</v>
      </c>
      <c r="G1239" s="2">
        <v>7001000000</v>
      </c>
      <c r="H1239" t="s">
        <v>12</v>
      </c>
      <c r="I1239" s="2">
        <v>93000000</v>
      </c>
      <c r="J1239" t="s">
        <v>36</v>
      </c>
      <c r="K1239" t="s">
        <v>393</v>
      </c>
      <c r="L1239">
        <f t="shared" si="19"/>
        <v>0.24131775397598187</v>
      </c>
    </row>
    <row r="1240" spans="1:12" x14ac:dyDescent="0.2">
      <c r="A1240">
        <v>1286</v>
      </c>
      <c r="B1240" t="s">
        <v>445</v>
      </c>
      <c r="C1240" t="s">
        <v>16</v>
      </c>
      <c r="D1240" s="1">
        <v>42369</v>
      </c>
      <c r="E1240" s="2">
        <v>73908000000</v>
      </c>
      <c r="F1240" s="2">
        <v>56479000000</v>
      </c>
      <c r="G1240" s="2">
        <v>6656000000</v>
      </c>
      <c r="H1240" t="s">
        <v>12</v>
      </c>
      <c r="I1240" s="2">
        <v>82000000</v>
      </c>
      <c r="J1240" t="s">
        <v>36</v>
      </c>
      <c r="K1240" t="s">
        <v>393</v>
      </c>
      <c r="L1240">
        <f t="shared" si="19"/>
        <v>0.23582020890837252</v>
      </c>
    </row>
    <row r="1241" spans="1:12" x14ac:dyDescent="0.2">
      <c r="A1241">
        <v>1287</v>
      </c>
      <c r="B1241" t="s">
        <v>445</v>
      </c>
      <c r="C1241" t="s">
        <v>17</v>
      </c>
      <c r="D1241" s="1">
        <v>42735</v>
      </c>
      <c r="E1241" s="2">
        <v>74953000000</v>
      </c>
      <c r="F1241" s="2">
        <v>57659000000</v>
      </c>
      <c r="G1241" s="2">
        <v>6405000000</v>
      </c>
      <c r="H1241" t="s">
        <v>12</v>
      </c>
      <c r="I1241" s="2">
        <v>74000000</v>
      </c>
      <c r="J1241" t="s">
        <v>36</v>
      </c>
      <c r="K1241" t="s">
        <v>393</v>
      </c>
      <c r="L1241">
        <f t="shared" si="19"/>
        <v>0.23073125825517327</v>
      </c>
    </row>
    <row r="1242" spans="1:12" x14ac:dyDescent="0.2">
      <c r="A1242">
        <v>1288</v>
      </c>
      <c r="B1242" t="s">
        <v>446</v>
      </c>
      <c r="C1242" t="s">
        <v>11</v>
      </c>
      <c r="D1242" s="1">
        <v>41274</v>
      </c>
      <c r="E1242" s="2">
        <v>16606000000</v>
      </c>
      <c r="F1242" s="2">
        <v>386000000</v>
      </c>
      <c r="G1242" s="2">
        <v>10486000000</v>
      </c>
      <c r="H1242" t="s">
        <v>12</v>
      </c>
      <c r="I1242" s="2">
        <v>987000000</v>
      </c>
      <c r="J1242" t="s">
        <v>47</v>
      </c>
      <c r="K1242" t="s">
        <v>105</v>
      </c>
      <c r="L1242">
        <f t="shared" si="19"/>
        <v>0.97675538961821029</v>
      </c>
    </row>
    <row r="1243" spans="1:12" x14ac:dyDescent="0.2">
      <c r="A1243">
        <v>1289</v>
      </c>
      <c r="B1243" t="s">
        <v>446</v>
      </c>
      <c r="C1243" t="s">
        <v>15</v>
      </c>
      <c r="D1243" s="1">
        <v>41639</v>
      </c>
      <c r="E1243" s="2">
        <v>16872000000</v>
      </c>
      <c r="F1243" s="2">
        <v>344000000</v>
      </c>
      <c r="G1243" s="2">
        <v>9681000000</v>
      </c>
      <c r="H1243" t="s">
        <v>12</v>
      </c>
      <c r="I1243" s="2">
        <v>643000000</v>
      </c>
      <c r="J1243" t="s">
        <v>47</v>
      </c>
      <c r="K1243" t="s">
        <v>105</v>
      </c>
      <c r="L1243">
        <f t="shared" si="19"/>
        <v>0.97961119013750597</v>
      </c>
    </row>
    <row r="1244" spans="1:12" x14ac:dyDescent="0.2">
      <c r="A1244">
        <v>1290</v>
      </c>
      <c r="B1244" t="s">
        <v>446</v>
      </c>
      <c r="C1244" t="s">
        <v>16</v>
      </c>
      <c r="D1244" s="1">
        <v>42004</v>
      </c>
      <c r="E1244" s="2">
        <v>16281000000</v>
      </c>
      <c r="F1244" s="2">
        <v>325000000</v>
      </c>
      <c r="G1244" s="2">
        <v>9488000000</v>
      </c>
      <c r="H1244" t="s">
        <v>12</v>
      </c>
      <c r="I1244" s="2">
        <v>273000000</v>
      </c>
      <c r="J1244" t="s">
        <v>47</v>
      </c>
      <c r="K1244" t="s">
        <v>105</v>
      </c>
      <c r="L1244">
        <f t="shared" si="19"/>
        <v>0.98003808119894353</v>
      </c>
    </row>
    <row r="1245" spans="1:12" x14ac:dyDescent="0.2">
      <c r="A1245">
        <v>1291</v>
      </c>
      <c r="B1245" t="s">
        <v>446</v>
      </c>
      <c r="C1245" t="s">
        <v>17</v>
      </c>
      <c r="D1245" s="1">
        <v>42369</v>
      </c>
      <c r="E1245" s="2">
        <v>16270000000</v>
      </c>
      <c r="F1245" s="2">
        <v>403000000</v>
      </c>
      <c r="G1245" s="2">
        <v>9463000000</v>
      </c>
      <c r="H1245" t="s">
        <v>12</v>
      </c>
      <c r="I1245" s="2">
        <v>255000000</v>
      </c>
      <c r="J1245" t="s">
        <v>47</v>
      </c>
      <c r="K1245" t="s">
        <v>105</v>
      </c>
      <c r="L1245">
        <f t="shared" si="19"/>
        <v>0.97523048555623848</v>
      </c>
    </row>
    <row r="1246" spans="1:12" x14ac:dyDescent="0.2">
      <c r="A1246">
        <v>1292</v>
      </c>
      <c r="B1246" t="s">
        <v>447</v>
      </c>
      <c r="C1246" t="s">
        <v>11</v>
      </c>
      <c r="D1246" s="1">
        <v>41274</v>
      </c>
      <c r="E1246" s="2">
        <v>4306800000</v>
      </c>
      <c r="F1246" s="2">
        <v>3040900000</v>
      </c>
      <c r="G1246" s="2">
        <v>1117700000</v>
      </c>
      <c r="H1246" s="2">
        <v>92300000</v>
      </c>
      <c r="I1246" t="s">
        <v>12</v>
      </c>
      <c r="J1246" t="s">
        <v>13</v>
      </c>
      <c r="K1246" t="s">
        <v>157</v>
      </c>
      <c r="L1246">
        <f t="shared" si="19"/>
        <v>0.29393052846661094</v>
      </c>
    </row>
    <row r="1247" spans="1:12" x14ac:dyDescent="0.2">
      <c r="A1247">
        <v>1293</v>
      </c>
      <c r="B1247" t="s">
        <v>447</v>
      </c>
      <c r="C1247" t="s">
        <v>15</v>
      </c>
      <c r="D1247" s="1">
        <v>41639</v>
      </c>
      <c r="E1247" s="2">
        <v>6999700000</v>
      </c>
      <c r="F1247" s="2">
        <v>4629600000</v>
      </c>
      <c r="G1247" s="2">
        <v>1493700000</v>
      </c>
      <c r="H1247" s="2">
        <v>122800000</v>
      </c>
      <c r="I1247" t="s">
        <v>12</v>
      </c>
      <c r="J1247" t="s">
        <v>13</v>
      </c>
      <c r="K1247" t="s">
        <v>157</v>
      </c>
      <c r="L1247">
        <f t="shared" si="19"/>
        <v>0.33860022572395965</v>
      </c>
    </row>
    <row r="1248" spans="1:12" x14ac:dyDescent="0.2">
      <c r="A1248">
        <v>1294</v>
      </c>
      <c r="B1248" t="s">
        <v>447</v>
      </c>
      <c r="C1248" t="s">
        <v>16</v>
      </c>
      <c r="D1248" s="1">
        <v>42004</v>
      </c>
      <c r="E1248" s="2">
        <v>7039000000</v>
      </c>
      <c r="F1248" s="2">
        <v>4576000000</v>
      </c>
      <c r="G1248" s="2">
        <v>1493800000</v>
      </c>
      <c r="H1248" s="2">
        <v>117300000</v>
      </c>
      <c r="I1248" t="s">
        <v>12</v>
      </c>
      <c r="J1248" t="s">
        <v>13</v>
      </c>
      <c r="K1248" t="s">
        <v>157</v>
      </c>
      <c r="L1248">
        <f t="shared" si="19"/>
        <v>0.34990765733769003</v>
      </c>
    </row>
    <row r="1249" spans="1:12" x14ac:dyDescent="0.2">
      <c r="A1249">
        <v>1295</v>
      </c>
      <c r="B1249" t="s">
        <v>447</v>
      </c>
      <c r="C1249" t="s">
        <v>17</v>
      </c>
      <c r="D1249" s="1">
        <v>42369</v>
      </c>
      <c r="E1249" s="2">
        <v>6449000000</v>
      </c>
      <c r="F1249" s="2">
        <v>4263200000</v>
      </c>
      <c r="G1249" s="2">
        <v>1334300000</v>
      </c>
      <c r="H1249" s="2">
        <v>119600000</v>
      </c>
      <c r="I1249" t="s">
        <v>12</v>
      </c>
      <c r="J1249" t="s">
        <v>13</v>
      </c>
      <c r="K1249" t="s">
        <v>157</v>
      </c>
      <c r="L1249">
        <f t="shared" si="19"/>
        <v>0.33893626918902153</v>
      </c>
    </row>
    <row r="1250" spans="1:12" x14ac:dyDescent="0.2">
      <c r="A1250">
        <v>1296</v>
      </c>
      <c r="B1250" t="s">
        <v>448</v>
      </c>
      <c r="C1250" t="s">
        <v>11</v>
      </c>
      <c r="D1250" s="1">
        <v>41274</v>
      </c>
      <c r="E1250" s="2">
        <v>3301804000</v>
      </c>
      <c r="F1250" s="2">
        <v>1879559000</v>
      </c>
      <c r="G1250" s="2">
        <v>166154000</v>
      </c>
      <c r="H1250" t="s">
        <v>12</v>
      </c>
      <c r="I1250" s="2">
        <v>404336000</v>
      </c>
      <c r="J1250" t="s">
        <v>42</v>
      </c>
      <c r="K1250" t="s">
        <v>43</v>
      </c>
      <c r="L1250">
        <f t="shared" si="19"/>
        <v>0.43074785783771541</v>
      </c>
    </row>
    <row r="1251" spans="1:12" x14ac:dyDescent="0.2">
      <c r="A1251">
        <v>1297</v>
      </c>
      <c r="B1251" t="s">
        <v>448</v>
      </c>
      <c r="C1251" t="s">
        <v>15</v>
      </c>
      <c r="D1251" s="1">
        <v>41639</v>
      </c>
      <c r="E1251" s="2">
        <v>3454628000</v>
      </c>
      <c r="F1251" s="2">
        <v>2020436000</v>
      </c>
      <c r="G1251" s="2">
        <v>172161000</v>
      </c>
      <c r="H1251" t="s">
        <v>12</v>
      </c>
      <c r="I1251" s="2">
        <v>415708000</v>
      </c>
      <c r="J1251" t="s">
        <v>42</v>
      </c>
      <c r="K1251" t="s">
        <v>43</v>
      </c>
      <c r="L1251">
        <f t="shared" si="19"/>
        <v>0.4151509221832278</v>
      </c>
    </row>
    <row r="1252" spans="1:12" x14ac:dyDescent="0.2">
      <c r="A1252">
        <v>1298</v>
      </c>
      <c r="B1252" t="s">
        <v>448</v>
      </c>
      <c r="C1252" t="s">
        <v>16</v>
      </c>
      <c r="D1252" s="1">
        <v>42004</v>
      </c>
      <c r="E1252" s="2">
        <v>3491632000</v>
      </c>
      <c r="F1252" s="2">
        <v>2087854000</v>
      </c>
      <c r="G1252" s="2">
        <v>175178000</v>
      </c>
      <c r="H1252" t="s">
        <v>12</v>
      </c>
      <c r="I1252" s="2">
        <v>417358000</v>
      </c>
      <c r="J1252" t="s">
        <v>42</v>
      </c>
      <c r="K1252" t="s">
        <v>43</v>
      </c>
      <c r="L1252">
        <f t="shared" si="19"/>
        <v>0.40204065033199377</v>
      </c>
    </row>
    <row r="1253" spans="1:12" x14ac:dyDescent="0.2">
      <c r="A1253">
        <v>1299</v>
      </c>
      <c r="B1253" t="s">
        <v>448</v>
      </c>
      <c r="C1253" t="s">
        <v>17</v>
      </c>
      <c r="D1253" s="1">
        <v>42369</v>
      </c>
      <c r="E1253" s="2">
        <v>3495443000</v>
      </c>
      <c r="F1253" s="2">
        <v>1969675000</v>
      </c>
      <c r="G1253" s="2">
        <v>176744000</v>
      </c>
      <c r="H1253" t="s">
        <v>12</v>
      </c>
      <c r="I1253" s="2">
        <v>494422000</v>
      </c>
      <c r="J1253" t="s">
        <v>42</v>
      </c>
      <c r="K1253" t="s">
        <v>43</v>
      </c>
      <c r="L1253">
        <f t="shared" si="19"/>
        <v>0.43650203994171843</v>
      </c>
    </row>
    <row r="1254" spans="1:12" x14ac:dyDescent="0.2">
      <c r="A1254">
        <v>1300</v>
      </c>
      <c r="B1254" t="s">
        <v>449</v>
      </c>
      <c r="C1254" t="s">
        <v>11</v>
      </c>
      <c r="D1254" s="1">
        <v>41639</v>
      </c>
      <c r="E1254" s="2">
        <v>14265000000</v>
      </c>
      <c r="F1254" s="2">
        <v>8314000000</v>
      </c>
      <c r="G1254" s="2">
        <v>3486000000</v>
      </c>
      <c r="H1254" s="2">
        <v>463000000</v>
      </c>
      <c r="I1254" s="2">
        <v>452000000</v>
      </c>
      <c r="J1254" t="s">
        <v>59</v>
      </c>
      <c r="K1254" t="s">
        <v>193</v>
      </c>
      <c r="L1254">
        <f t="shared" si="19"/>
        <v>0.41717490361023479</v>
      </c>
    </row>
    <row r="1255" spans="1:12" x14ac:dyDescent="0.2">
      <c r="A1255">
        <v>1301</v>
      </c>
      <c r="B1255" t="s">
        <v>449</v>
      </c>
      <c r="C1255" t="s">
        <v>15</v>
      </c>
      <c r="D1255" s="1">
        <v>42004</v>
      </c>
      <c r="E1255" s="2">
        <v>14791000000</v>
      </c>
      <c r="F1255" s="2">
        <v>8348000000</v>
      </c>
      <c r="G1255" s="2">
        <v>4013000000</v>
      </c>
      <c r="H1255" s="2">
        <v>483000000</v>
      </c>
      <c r="I1255" s="2">
        <v>450000000</v>
      </c>
      <c r="J1255" t="s">
        <v>59</v>
      </c>
      <c r="K1255" t="s">
        <v>193</v>
      </c>
      <c r="L1255">
        <f t="shared" si="19"/>
        <v>0.4356027313907106</v>
      </c>
    </row>
    <row r="1256" spans="1:12" x14ac:dyDescent="0.2">
      <c r="A1256">
        <v>1302</v>
      </c>
      <c r="B1256" t="s">
        <v>449</v>
      </c>
      <c r="C1256" t="s">
        <v>16</v>
      </c>
      <c r="D1256" s="1">
        <v>42369</v>
      </c>
      <c r="E1256" s="2">
        <v>14766000000</v>
      </c>
      <c r="F1256" s="2">
        <v>8206000000</v>
      </c>
      <c r="G1256" s="2">
        <v>3624000000</v>
      </c>
      <c r="H1256" s="2">
        <v>476000000</v>
      </c>
      <c r="I1256" s="2">
        <v>471000000</v>
      </c>
      <c r="J1256" t="s">
        <v>59</v>
      </c>
      <c r="K1256" t="s">
        <v>193</v>
      </c>
      <c r="L1256">
        <f t="shared" si="19"/>
        <v>0.44426384938371932</v>
      </c>
    </row>
    <row r="1257" spans="1:12" x14ac:dyDescent="0.2">
      <c r="A1257">
        <v>1303</v>
      </c>
      <c r="B1257" t="s">
        <v>449</v>
      </c>
      <c r="C1257" t="s">
        <v>17</v>
      </c>
      <c r="D1257" s="1">
        <v>42735</v>
      </c>
      <c r="E1257" s="2">
        <v>14751000000</v>
      </c>
      <c r="F1257" s="2">
        <v>8063000000</v>
      </c>
      <c r="G1257" s="2">
        <v>4630000000</v>
      </c>
      <c r="H1257" s="2">
        <v>466000000</v>
      </c>
      <c r="I1257" s="2">
        <v>462000000</v>
      </c>
      <c r="J1257" t="s">
        <v>59</v>
      </c>
      <c r="K1257" t="s">
        <v>193</v>
      </c>
      <c r="L1257">
        <f t="shared" si="19"/>
        <v>0.45339299030574198</v>
      </c>
    </row>
    <row r="1258" spans="1:12" x14ac:dyDescent="0.2">
      <c r="A1258">
        <v>1304</v>
      </c>
      <c r="B1258" t="s">
        <v>450</v>
      </c>
      <c r="C1258" t="s">
        <v>11</v>
      </c>
      <c r="D1258" s="1">
        <v>41274</v>
      </c>
      <c r="E1258" s="2">
        <v>12132000000</v>
      </c>
      <c r="F1258" s="2">
        <v>4876000000</v>
      </c>
      <c r="G1258" s="2">
        <v>3143000000</v>
      </c>
      <c r="H1258" t="s">
        <v>12</v>
      </c>
      <c r="I1258" s="2">
        <v>1087000000</v>
      </c>
      <c r="J1258" t="s">
        <v>42</v>
      </c>
      <c r="K1258" t="s">
        <v>45</v>
      </c>
      <c r="L1258">
        <f t="shared" si="19"/>
        <v>0.59808770194526872</v>
      </c>
    </row>
    <row r="1259" spans="1:12" x14ac:dyDescent="0.2">
      <c r="A1259">
        <v>1305</v>
      </c>
      <c r="B1259" t="s">
        <v>450</v>
      </c>
      <c r="C1259" t="s">
        <v>15</v>
      </c>
      <c r="D1259" s="1">
        <v>41639</v>
      </c>
      <c r="E1259" s="2">
        <v>7263000000</v>
      </c>
      <c r="F1259" s="2">
        <v>1751000000</v>
      </c>
      <c r="G1259" s="2">
        <v>2108000000</v>
      </c>
      <c r="H1259" t="s">
        <v>12</v>
      </c>
      <c r="I1259" s="2">
        <v>843000000</v>
      </c>
      <c r="J1259" t="s">
        <v>42</v>
      </c>
      <c r="K1259" t="s">
        <v>45</v>
      </c>
      <c r="L1259">
        <f t="shared" si="19"/>
        <v>0.7589150488778742</v>
      </c>
    </row>
    <row r="1260" spans="1:12" x14ac:dyDescent="0.2">
      <c r="A1260">
        <v>1306</v>
      </c>
      <c r="B1260" t="s">
        <v>450</v>
      </c>
      <c r="C1260" t="s">
        <v>16</v>
      </c>
      <c r="D1260" s="1">
        <v>42004</v>
      </c>
      <c r="E1260" s="2">
        <v>7852000000</v>
      </c>
      <c r="F1260" s="2">
        <v>1889000000</v>
      </c>
      <c r="G1260" s="2">
        <v>2173000000</v>
      </c>
      <c r="H1260" t="s">
        <v>12</v>
      </c>
      <c r="I1260" s="2">
        <v>923000000</v>
      </c>
      <c r="J1260" t="s">
        <v>42</v>
      </c>
      <c r="K1260" t="s">
        <v>45</v>
      </c>
      <c r="L1260">
        <f t="shared" si="19"/>
        <v>0.75942435048395307</v>
      </c>
    </row>
    <row r="1261" spans="1:12" x14ac:dyDescent="0.2">
      <c r="A1261">
        <v>1307</v>
      </c>
      <c r="B1261" t="s">
        <v>450</v>
      </c>
      <c r="C1261" t="s">
        <v>17</v>
      </c>
      <c r="D1261" s="1">
        <v>42369</v>
      </c>
      <c r="E1261" s="2">
        <v>7669000000</v>
      </c>
      <c r="F1261" s="2">
        <v>1718000000</v>
      </c>
      <c r="G1261" s="2">
        <v>2237000000</v>
      </c>
      <c r="H1261" t="s">
        <v>12</v>
      </c>
      <c r="I1261" s="2">
        <v>883000000</v>
      </c>
      <c r="J1261" t="s">
        <v>42</v>
      </c>
      <c r="K1261" t="s">
        <v>45</v>
      </c>
      <c r="L1261">
        <f t="shared" si="19"/>
        <v>0.77598122310601125</v>
      </c>
    </row>
    <row r="1262" spans="1:12" x14ac:dyDescent="0.2">
      <c r="A1262">
        <v>1308</v>
      </c>
      <c r="B1262" t="s">
        <v>451</v>
      </c>
      <c r="C1262" t="s">
        <v>11</v>
      </c>
      <c r="D1262" s="1">
        <v>41274</v>
      </c>
      <c r="E1262" s="2">
        <v>84847000000</v>
      </c>
      <c r="F1262" s="2">
        <v>66635000000</v>
      </c>
      <c r="G1262" s="2">
        <v>17504000000</v>
      </c>
      <c r="H1262" t="s">
        <v>12</v>
      </c>
      <c r="I1262" t="s">
        <v>12</v>
      </c>
      <c r="J1262" t="s">
        <v>47</v>
      </c>
      <c r="K1262" t="s">
        <v>379</v>
      </c>
      <c r="L1262">
        <f t="shared" si="19"/>
        <v>0.21464518486216366</v>
      </c>
    </row>
    <row r="1263" spans="1:12" x14ac:dyDescent="0.2">
      <c r="A1263">
        <v>1309</v>
      </c>
      <c r="B1263" t="s">
        <v>451</v>
      </c>
      <c r="C1263" t="s">
        <v>15</v>
      </c>
      <c r="D1263" s="1">
        <v>41639</v>
      </c>
      <c r="E1263" s="2">
        <v>41461000000</v>
      </c>
      <c r="F1263" s="2">
        <v>26973000000</v>
      </c>
      <c r="G1263" s="2">
        <v>16172000000</v>
      </c>
      <c r="H1263" t="s">
        <v>12</v>
      </c>
      <c r="I1263" t="s">
        <v>12</v>
      </c>
      <c r="J1263" t="s">
        <v>47</v>
      </c>
      <c r="K1263" t="s">
        <v>379</v>
      </c>
      <c r="L1263">
        <f t="shared" si="19"/>
        <v>0.34943682014423194</v>
      </c>
    </row>
    <row r="1264" spans="1:12" x14ac:dyDescent="0.2">
      <c r="A1264">
        <v>1310</v>
      </c>
      <c r="B1264" t="s">
        <v>451</v>
      </c>
      <c r="C1264" t="s">
        <v>16</v>
      </c>
      <c r="D1264" s="1">
        <v>42004</v>
      </c>
      <c r="E1264" s="2">
        <v>54105000000</v>
      </c>
      <c r="F1264" s="2">
        <v>33560000000</v>
      </c>
      <c r="G1264" s="2">
        <v>18786000000</v>
      </c>
      <c r="H1264" t="s">
        <v>12</v>
      </c>
      <c r="I1264" t="s">
        <v>12</v>
      </c>
      <c r="J1264" t="s">
        <v>47</v>
      </c>
      <c r="K1264" t="s">
        <v>379</v>
      </c>
      <c r="L1264">
        <f t="shared" si="19"/>
        <v>0.37972460955549392</v>
      </c>
    </row>
    <row r="1265" spans="1:12" x14ac:dyDescent="0.2">
      <c r="A1265">
        <v>1311</v>
      </c>
      <c r="B1265" t="s">
        <v>451</v>
      </c>
      <c r="C1265" t="s">
        <v>17</v>
      </c>
      <c r="D1265" s="1">
        <v>42369</v>
      </c>
      <c r="E1265" s="2">
        <v>57119000000</v>
      </c>
      <c r="F1265" s="2">
        <v>32747000000</v>
      </c>
      <c r="G1265" s="2">
        <v>16603000000</v>
      </c>
      <c r="H1265" t="s">
        <v>12</v>
      </c>
      <c r="I1265" t="s">
        <v>12</v>
      </c>
      <c r="J1265" t="s">
        <v>47</v>
      </c>
      <c r="K1265" t="s">
        <v>379</v>
      </c>
      <c r="L1265">
        <f t="shared" si="19"/>
        <v>0.42668814229940999</v>
      </c>
    </row>
    <row r="1266" spans="1:12" x14ac:dyDescent="0.2">
      <c r="A1266">
        <v>1312</v>
      </c>
      <c r="B1266" t="s">
        <v>452</v>
      </c>
      <c r="C1266" t="s">
        <v>11</v>
      </c>
      <c r="D1266" s="1">
        <v>41274</v>
      </c>
      <c r="E1266" s="2">
        <v>179290000000</v>
      </c>
      <c r="F1266" s="2">
        <v>158446000000</v>
      </c>
      <c r="G1266" s="2">
        <v>15443000000</v>
      </c>
      <c r="H1266" t="s">
        <v>12</v>
      </c>
      <c r="I1266" s="2">
        <v>931000000</v>
      </c>
      <c r="J1266" t="s">
        <v>83</v>
      </c>
      <c r="K1266" t="s">
        <v>341</v>
      </c>
      <c r="L1266">
        <f t="shared" si="19"/>
        <v>0.1162585754922193</v>
      </c>
    </row>
    <row r="1267" spans="1:12" x14ac:dyDescent="0.2">
      <c r="A1267">
        <v>1313</v>
      </c>
      <c r="B1267" t="s">
        <v>452</v>
      </c>
      <c r="C1267" t="s">
        <v>15</v>
      </c>
      <c r="D1267" s="1">
        <v>41639</v>
      </c>
      <c r="E1267" s="2">
        <v>171596000000</v>
      </c>
      <c r="F1267" s="2">
        <v>152451000000</v>
      </c>
      <c r="G1267" s="2">
        <v>15597000000</v>
      </c>
      <c r="H1267" t="s">
        <v>12</v>
      </c>
      <c r="I1267" s="2">
        <v>971000000</v>
      </c>
      <c r="J1267" t="s">
        <v>83</v>
      </c>
      <c r="K1267" t="s">
        <v>341</v>
      </c>
      <c r="L1267">
        <f t="shared" si="19"/>
        <v>0.11157019977155647</v>
      </c>
    </row>
    <row r="1268" spans="1:12" x14ac:dyDescent="0.2">
      <c r="A1268">
        <v>1314</v>
      </c>
      <c r="B1268" t="s">
        <v>452</v>
      </c>
      <c r="C1268" t="s">
        <v>16</v>
      </c>
      <c r="D1268" s="1">
        <v>42004</v>
      </c>
      <c r="E1268" s="2">
        <v>161212000000</v>
      </c>
      <c r="F1268" s="2">
        <v>140183000000</v>
      </c>
      <c r="G1268" s="2">
        <v>16703000000</v>
      </c>
      <c r="H1268" t="s">
        <v>12</v>
      </c>
      <c r="I1268" s="2">
        <v>1019000000</v>
      </c>
      <c r="J1268" t="s">
        <v>83</v>
      </c>
      <c r="K1268" t="s">
        <v>341</v>
      </c>
      <c r="L1268">
        <f t="shared" si="19"/>
        <v>0.13044314319033323</v>
      </c>
    </row>
    <row r="1269" spans="1:12" x14ac:dyDescent="0.2">
      <c r="A1269">
        <v>1315</v>
      </c>
      <c r="B1269" t="s">
        <v>452</v>
      </c>
      <c r="C1269" t="s">
        <v>17</v>
      </c>
      <c r="D1269" s="1">
        <v>42369</v>
      </c>
      <c r="E1269" s="2">
        <v>98975000000</v>
      </c>
      <c r="F1269" s="2">
        <v>77693000000</v>
      </c>
      <c r="G1269" s="2">
        <v>15747000000</v>
      </c>
      <c r="H1269" t="s">
        <v>12</v>
      </c>
      <c r="I1269" s="2">
        <v>1099000000</v>
      </c>
      <c r="J1269" t="s">
        <v>83</v>
      </c>
      <c r="K1269" t="s">
        <v>341</v>
      </c>
      <c r="L1269">
        <f t="shared" si="19"/>
        <v>0.21502399595857535</v>
      </c>
    </row>
    <row r="1270" spans="1:12" x14ac:dyDescent="0.2">
      <c r="A1270">
        <v>1316</v>
      </c>
      <c r="B1270" t="s">
        <v>453</v>
      </c>
      <c r="C1270" t="s">
        <v>11</v>
      </c>
      <c r="D1270" s="1">
        <v>41308</v>
      </c>
      <c r="E1270" s="2">
        <v>6043000000</v>
      </c>
      <c r="F1270" s="2">
        <v>2793800000</v>
      </c>
      <c r="G1270" s="2">
        <v>2594300000</v>
      </c>
      <c r="H1270" t="s">
        <v>12</v>
      </c>
      <c r="I1270" t="s">
        <v>12</v>
      </c>
      <c r="J1270" t="s">
        <v>19</v>
      </c>
      <c r="K1270" t="s">
        <v>289</v>
      </c>
      <c r="L1270">
        <f t="shared" si="19"/>
        <v>0.53767996028462683</v>
      </c>
    </row>
    <row r="1271" spans="1:12" x14ac:dyDescent="0.2">
      <c r="A1271">
        <v>1317</v>
      </c>
      <c r="B1271" t="s">
        <v>453</v>
      </c>
      <c r="C1271" t="s">
        <v>15</v>
      </c>
      <c r="D1271" s="1">
        <v>41672</v>
      </c>
      <c r="E1271" s="2">
        <v>8186400000</v>
      </c>
      <c r="F1271" s="2">
        <v>3967100000</v>
      </c>
      <c r="G1271" s="2">
        <v>3673500000</v>
      </c>
      <c r="H1271" t="s">
        <v>12</v>
      </c>
      <c r="I1271" t="s">
        <v>12</v>
      </c>
      <c r="J1271" t="s">
        <v>19</v>
      </c>
      <c r="K1271" t="s">
        <v>289</v>
      </c>
      <c r="L1271">
        <f t="shared" si="19"/>
        <v>0.51540359620834553</v>
      </c>
    </row>
    <row r="1272" spans="1:12" x14ac:dyDescent="0.2">
      <c r="A1272">
        <v>1318</v>
      </c>
      <c r="B1272" t="s">
        <v>453</v>
      </c>
      <c r="C1272" t="s">
        <v>16</v>
      </c>
      <c r="D1272" s="1">
        <v>42036</v>
      </c>
      <c r="E1272" s="2">
        <v>8241200000</v>
      </c>
      <c r="F1272" s="2">
        <v>3914500000</v>
      </c>
      <c r="G1272" s="2">
        <v>3713600000</v>
      </c>
      <c r="H1272" t="s">
        <v>12</v>
      </c>
      <c r="I1272" t="s">
        <v>12</v>
      </c>
      <c r="J1272" t="s">
        <v>19</v>
      </c>
      <c r="K1272" t="s">
        <v>289</v>
      </c>
      <c r="L1272">
        <f t="shared" si="19"/>
        <v>0.52500849390865412</v>
      </c>
    </row>
    <row r="1273" spans="1:12" x14ac:dyDescent="0.2">
      <c r="A1273">
        <v>1319</v>
      </c>
      <c r="B1273" t="s">
        <v>453</v>
      </c>
      <c r="C1273" t="s">
        <v>17</v>
      </c>
      <c r="D1273" s="1">
        <v>42400</v>
      </c>
      <c r="E1273" s="2">
        <v>8020300000</v>
      </c>
      <c r="F1273" s="2">
        <v>3858700000</v>
      </c>
      <c r="G1273" s="2">
        <v>3417700000</v>
      </c>
      <c r="H1273" t="s">
        <v>12</v>
      </c>
      <c r="I1273" t="s">
        <v>12</v>
      </c>
      <c r="J1273" t="s">
        <v>19</v>
      </c>
      <c r="K1273" t="s">
        <v>289</v>
      </c>
      <c r="L1273">
        <f t="shared" si="19"/>
        <v>0.51888333354113936</v>
      </c>
    </row>
    <row r="1274" spans="1:12" x14ac:dyDescent="0.2">
      <c r="A1274">
        <v>1320</v>
      </c>
      <c r="B1274" t="s">
        <v>454</v>
      </c>
      <c r="C1274" t="s">
        <v>11</v>
      </c>
      <c r="D1274" s="1">
        <v>41274</v>
      </c>
      <c r="E1274" s="2">
        <v>5920269000</v>
      </c>
      <c r="F1274" s="2">
        <v>4982562000</v>
      </c>
      <c r="G1274" s="2">
        <v>434894000</v>
      </c>
      <c r="H1274" t="s">
        <v>12</v>
      </c>
      <c r="I1274" s="2">
        <v>37691000</v>
      </c>
      <c r="J1274" t="s">
        <v>13</v>
      </c>
      <c r="K1274" t="s">
        <v>164</v>
      </c>
      <c r="L1274">
        <f t="shared" si="19"/>
        <v>0.15838925562335093</v>
      </c>
    </row>
    <row r="1275" spans="1:12" x14ac:dyDescent="0.2">
      <c r="A1275">
        <v>1321</v>
      </c>
      <c r="B1275" t="s">
        <v>454</v>
      </c>
      <c r="C1275" t="s">
        <v>15</v>
      </c>
      <c r="D1275" s="1">
        <v>41639</v>
      </c>
      <c r="E1275" s="2">
        <v>6411577000</v>
      </c>
      <c r="F1275" s="2">
        <v>5424644000</v>
      </c>
      <c r="G1275" s="2">
        <v>485069000</v>
      </c>
      <c r="H1275" t="s">
        <v>12</v>
      </c>
      <c r="I1275" s="2">
        <v>25865000</v>
      </c>
      <c r="J1275" t="s">
        <v>13</v>
      </c>
      <c r="K1275" t="s">
        <v>164</v>
      </c>
      <c r="L1275">
        <f t="shared" si="19"/>
        <v>0.15392983660650106</v>
      </c>
    </row>
    <row r="1276" spans="1:12" x14ac:dyDescent="0.2">
      <c r="A1276">
        <v>1322</v>
      </c>
      <c r="B1276" t="s">
        <v>454</v>
      </c>
      <c r="C1276" t="s">
        <v>16</v>
      </c>
      <c r="D1276" s="1">
        <v>42004</v>
      </c>
      <c r="E1276" s="2">
        <v>7747229000</v>
      </c>
      <c r="F1276" s="2">
        <v>6578435000</v>
      </c>
      <c r="G1276" s="2">
        <v>705477000</v>
      </c>
      <c r="H1276" t="s">
        <v>12</v>
      </c>
      <c r="I1276" s="2">
        <v>34257000</v>
      </c>
      <c r="J1276" t="s">
        <v>13</v>
      </c>
      <c r="K1276" t="s">
        <v>164</v>
      </c>
      <c r="L1276">
        <f t="shared" si="19"/>
        <v>0.15086607095259474</v>
      </c>
    </row>
    <row r="1277" spans="1:12" x14ac:dyDescent="0.2">
      <c r="A1277">
        <v>1323</v>
      </c>
      <c r="B1277" t="s">
        <v>454</v>
      </c>
      <c r="C1277" t="s">
        <v>17</v>
      </c>
      <c r="D1277" s="1">
        <v>42369</v>
      </c>
      <c r="E1277" s="2">
        <v>7572436000</v>
      </c>
      <c r="F1277" s="2">
        <v>6648771000</v>
      </c>
      <c r="G1277" s="2">
        <v>592863000</v>
      </c>
      <c r="H1277" t="s">
        <v>12</v>
      </c>
      <c r="I1277" s="2">
        <v>34848000</v>
      </c>
      <c r="J1277" t="s">
        <v>13</v>
      </c>
      <c r="K1277" t="s">
        <v>164</v>
      </c>
      <c r="L1277">
        <f t="shared" si="19"/>
        <v>0.12197726068599324</v>
      </c>
    </row>
    <row r="1278" spans="1:12" x14ac:dyDescent="0.2">
      <c r="A1278">
        <v>1324</v>
      </c>
      <c r="B1278" t="s">
        <v>455</v>
      </c>
      <c r="C1278" t="s">
        <v>11</v>
      </c>
      <c r="D1278" s="1">
        <v>41274</v>
      </c>
      <c r="E1278" s="2">
        <v>11224000000</v>
      </c>
      <c r="F1278" s="2">
        <v>6396000000</v>
      </c>
      <c r="G1278" s="2">
        <v>1227000000</v>
      </c>
      <c r="H1278" s="2">
        <v>98000000</v>
      </c>
      <c r="I1278" s="2">
        <v>1001000000</v>
      </c>
      <c r="J1278" t="s">
        <v>59</v>
      </c>
      <c r="K1278" t="s">
        <v>87</v>
      </c>
      <c r="L1278">
        <f t="shared" si="19"/>
        <v>0.43014967925873127</v>
      </c>
    </row>
    <row r="1279" spans="1:12" x14ac:dyDescent="0.2">
      <c r="A1279">
        <v>1325</v>
      </c>
      <c r="B1279" t="s">
        <v>455</v>
      </c>
      <c r="C1279" t="s">
        <v>15</v>
      </c>
      <c r="D1279" s="1">
        <v>41639</v>
      </c>
      <c r="E1279" s="2">
        <v>11925000000</v>
      </c>
      <c r="F1279" s="2">
        <v>6744000000</v>
      </c>
      <c r="G1279" s="2">
        <v>1349000000</v>
      </c>
      <c r="H1279" s="2">
        <v>98000000</v>
      </c>
      <c r="I1279" s="2">
        <v>1109000000</v>
      </c>
      <c r="J1279" t="s">
        <v>59</v>
      </c>
      <c r="K1279" t="s">
        <v>87</v>
      </c>
      <c r="L1279">
        <f t="shared" si="19"/>
        <v>0.43446540880503148</v>
      </c>
    </row>
    <row r="1280" spans="1:12" x14ac:dyDescent="0.2">
      <c r="A1280">
        <v>1326</v>
      </c>
      <c r="B1280" t="s">
        <v>455</v>
      </c>
      <c r="C1280" t="s">
        <v>16</v>
      </c>
      <c r="D1280" s="1">
        <v>42004</v>
      </c>
      <c r="E1280" s="2">
        <v>12273000000</v>
      </c>
      <c r="F1280" s="2">
        <v>6962000000</v>
      </c>
      <c r="G1280" s="2">
        <v>1437000000</v>
      </c>
      <c r="H1280" s="2">
        <v>96000000</v>
      </c>
      <c r="I1280" s="2">
        <v>1170000000</v>
      </c>
      <c r="J1280" t="s">
        <v>59</v>
      </c>
      <c r="K1280" t="s">
        <v>87</v>
      </c>
      <c r="L1280">
        <f t="shared" si="19"/>
        <v>0.43273853173633181</v>
      </c>
    </row>
    <row r="1281" spans="1:12" x14ac:dyDescent="0.2">
      <c r="A1281">
        <v>1327</v>
      </c>
      <c r="B1281" t="s">
        <v>455</v>
      </c>
      <c r="C1281" t="s">
        <v>17</v>
      </c>
      <c r="D1281" s="1">
        <v>42369</v>
      </c>
      <c r="E1281" s="2">
        <v>10776000000</v>
      </c>
      <c r="F1281" s="2">
        <v>5960000000</v>
      </c>
      <c r="G1281" s="2">
        <v>1296000000</v>
      </c>
      <c r="H1281" s="2">
        <v>93000000</v>
      </c>
      <c r="I1281" s="2">
        <v>1106000000</v>
      </c>
      <c r="J1281" t="s">
        <v>59</v>
      </c>
      <c r="K1281" t="s">
        <v>87</v>
      </c>
      <c r="L1281">
        <f t="shared" si="19"/>
        <v>0.44691907943578324</v>
      </c>
    </row>
    <row r="1282" spans="1:12" x14ac:dyDescent="0.2">
      <c r="A1282">
        <v>1331</v>
      </c>
      <c r="B1282" t="s">
        <v>456</v>
      </c>
      <c r="C1282" t="s">
        <v>11</v>
      </c>
      <c r="D1282" s="1">
        <v>41546</v>
      </c>
      <c r="E1282" s="2">
        <v>24866000000</v>
      </c>
      <c r="F1282" s="2">
        <v>9820000000</v>
      </c>
      <c r="G1282" s="2">
        <v>2849000000</v>
      </c>
      <c r="H1282" s="2">
        <v>4967000000</v>
      </c>
      <c r="I1282" t="s">
        <v>12</v>
      </c>
      <c r="J1282" t="s">
        <v>22</v>
      </c>
      <c r="K1282" t="s">
        <v>34</v>
      </c>
      <c r="L1282">
        <f t="shared" si="19"/>
        <v>0.60508324619963005</v>
      </c>
    </row>
    <row r="1283" spans="1:12" x14ac:dyDescent="0.2">
      <c r="A1283">
        <v>1332</v>
      </c>
      <c r="B1283" t="s">
        <v>456</v>
      </c>
      <c r="C1283" t="s">
        <v>15</v>
      </c>
      <c r="D1283" s="1">
        <v>41910</v>
      </c>
      <c r="E1283" s="2">
        <v>26487000000</v>
      </c>
      <c r="F1283" s="2">
        <v>10686000000</v>
      </c>
      <c r="G1283" s="2">
        <v>2774000000</v>
      </c>
      <c r="H1283" s="2">
        <v>5477000000</v>
      </c>
      <c r="I1283" t="s">
        <v>12</v>
      </c>
      <c r="J1283" t="s">
        <v>22</v>
      </c>
      <c r="K1283" t="s">
        <v>34</v>
      </c>
      <c r="L1283">
        <f t="shared" ref="L1283:L1346" si="20">1-F1283/E1283</f>
        <v>0.59655680144976775</v>
      </c>
    </row>
    <row r="1284" spans="1:12" x14ac:dyDescent="0.2">
      <c r="A1284">
        <v>1333</v>
      </c>
      <c r="B1284" t="s">
        <v>456</v>
      </c>
      <c r="C1284" t="s">
        <v>16</v>
      </c>
      <c r="D1284" s="1">
        <v>42274</v>
      </c>
      <c r="E1284" s="2">
        <v>25281000000</v>
      </c>
      <c r="F1284" s="2">
        <v>10378000000</v>
      </c>
      <c r="G1284" s="2">
        <v>3637000000</v>
      </c>
      <c r="H1284" s="2">
        <v>5490000000</v>
      </c>
      <c r="I1284" t="s">
        <v>12</v>
      </c>
      <c r="J1284" t="s">
        <v>22</v>
      </c>
      <c r="K1284" t="s">
        <v>34</v>
      </c>
      <c r="L1284">
        <f t="shared" si="20"/>
        <v>0.58949408646809864</v>
      </c>
    </row>
    <row r="1285" spans="1:12" x14ac:dyDescent="0.2">
      <c r="A1285">
        <v>1334</v>
      </c>
      <c r="B1285" t="s">
        <v>456</v>
      </c>
      <c r="C1285" t="s">
        <v>17</v>
      </c>
      <c r="D1285" s="1">
        <v>42638</v>
      </c>
      <c r="E1285" s="2">
        <v>23554000000</v>
      </c>
      <c r="F1285" s="2">
        <v>9749000000</v>
      </c>
      <c r="G1285" s="2">
        <v>2159000000</v>
      </c>
      <c r="H1285" s="2">
        <v>5151000000</v>
      </c>
      <c r="I1285" t="s">
        <v>12</v>
      </c>
      <c r="J1285" t="s">
        <v>22</v>
      </c>
      <c r="K1285" t="s">
        <v>34</v>
      </c>
      <c r="L1285">
        <f t="shared" si="20"/>
        <v>0.58610002547338036</v>
      </c>
    </row>
    <row r="1286" spans="1:12" x14ac:dyDescent="0.2">
      <c r="A1286">
        <v>1335</v>
      </c>
      <c r="B1286" t="s">
        <v>457</v>
      </c>
      <c r="C1286" t="s">
        <v>11</v>
      </c>
      <c r="D1286" s="1">
        <v>41727</v>
      </c>
      <c r="E1286" s="2">
        <v>1148231000</v>
      </c>
      <c r="F1286" s="2">
        <v>743304000</v>
      </c>
      <c r="G1286" s="2">
        <v>180317000</v>
      </c>
      <c r="H1286" s="2">
        <v>197269000</v>
      </c>
      <c r="I1286" t="s">
        <v>12</v>
      </c>
      <c r="J1286" t="s">
        <v>22</v>
      </c>
      <c r="K1286" t="s">
        <v>34</v>
      </c>
      <c r="L1286">
        <f t="shared" si="20"/>
        <v>0.35265290694990814</v>
      </c>
    </row>
    <row r="1287" spans="1:12" x14ac:dyDescent="0.2">
      <c r="A1287">
        <v>1336</v>
      </c>
      <c r="B1287" t="s">
        <v>457</v>
      </c>
      <c r="C1287" t="s">
        <v>15</v>
      </c>
      <c r="D1287" s="1">
        <v>42091</v>
      </c>
      <c r="E1287" s="2">
        <v>1710966000</v>
      </c>
      <c r="F1287" s="2">
        <v>1021658000</v>
      </c>
      <c r="G1287" s="2">
        <v>309348000</v>
      </c>
      <c r="H1287" s="2">
        <v>257494000</v>
      </c>
      <c r="I1287" t="s">
        <v>12</v>
      </c>
      <c r="J1287" t="s">
        <v>22</v>
      </c>
      <c r="K1287" t="s">
        <v>34</v>
      </c>
      <c r="L1287">
        <f t="shared" si="20"/>
        <v>0.40287650368271488</v>
      </c>
    </row>
    <row r="1288" spans="1:12" x14ac:dyDescent="0.2">
      <c r="A1288">
        <v>1337</v>
      </c>
      <c r="B1288" t="s">
        <v>457</v>
      </c>
      <c r="C1288" t="s">
        <v>16</v>
      </c>
      <c r="D1288" s="1">
        <v>42462</v>
      </c>
      <c r="E1288" s="2">
        <v>2610726000</v>
      </c>
      <c r="F1288" s="2">
        <v>1561173000</v>
      </c>
      <c r="G1288" s="2">
        <v>588822000</v>
      </c>
      <c r="H1288" s="2">
        <v>448763000</v>
      </c>
      <c r="I1288" t="s">
        <v>12</v>
      </c>
      <c r="J1288" t="s">
        <v>22</v>
      </c>
      <c r="K1288" t="s">
        <v>34</v>
      </c>
      <c r="L1288">
        <f t="shared" si="20"/>
        <v>0.40201576113311011</v>
      </c>
    </row>
    <row r="1289" spans="1:12" x14ac:dyDescent="0.2">
      <c r="A1289">
        <v>1338</v>
      </c>
      <c r="B1289" t="s">
        <v>458</v>
      </c>
      <c r="C1289" t="s">
        <v>11</v>
      </c>
      <c r="D1289" s="1">
        <v>41639</v>
      </c>
      <c r="E1289" s="2">
        <v>6419285000</v>
      </c>
      <c r="F1289" s="2">
        <v>5099484000</v>
      </c>
      <c r="G1289" s="2">
        <v>922340000</v>
      </c>
      <c r="H1289" t="s">
        <v>12</v>
      </c>
      <c r="I1289" t="s">
        <v>12</v>
      </c>
      <c r="J1289" t="s">
        <v>13</v>
      </c>
      <c r="K1289" t="s">
        <v>164</v>
      </c>
      <c r="L1289">
        <f t="shared" si="20"/>
        <v>0.20559937750076529</v>
      </c>
    </row>
    <row r="1290" spans="1:12" x14ac:dyDescent="0.2">
      <c r="A1290">
        <v>1339</v>
      </c>
      <c r="B1290" t="s">
        <v>458</v>
      </c>
      <c r="C1290" t="s">
        <v>15</v>
      </c>
      <c r="D1290" s="1">
        <v>42004</v>
      </c>
      <c r="E1290" s="2">
        <v>6638774000</v>
      </c>
      <c r="F1290" s="2">
        <v>5253040000</v>
      </c>
      <c r="G1290" s="2">
        <v>1030014000</v>
      </c>
      <c r="H1290" t="s">
        <v>12</v>
      </c>
      <c r="I1290" t="s">
        <v>12</v>
      </c>
      <c r="J1290" t="s">
        <v>13</v>
      </c>
      <c r="K1290" t="s">
        <v>164</v>
      </c>
      <c r="L1290">
        <f t="shared" si="20"/>
        <v>0.20873341975491255</v>
      </c>
    </row>
    <row r="1291" spans="1:12" x14ac:dyDescent="0.2">
      <c r="A1291">
        <v>1340</v>
      </c>
      <c r="B1291" t="s">
        <v>458</v>
      </c>
      <c r="C1291" t="s">
        <v>16</v>
      </c>
      <c r="D1291" s="1">
        <v>42369</v>
      </c>
      <c r="E1291" s="2">
        <v>6571893000</v>
      </c>
      <c r="F1291" s="2">
        <v>5086449000</v>
      </c>
      <c r="G1291" s="2">
        <v>961579000</v>
      </c>
      <c r="H1291" t="s">
        <v>12</v>
      </c>
      <c r="I1291" t="s">
        <v>12</v>
      </c>
      <c r="J1291" t="s">
        <v>13</v>
      </c>
      <c r="K1291" t="s">
        <v>164</v>
      </c>
      <c r="L1291">
        <f t="shared" si="20"/>
        <v>0.22602985167287415</v>
      </c>
    </row>
    <row r="1292" spans="1:12" x14ac:dyDescent="0.2">
      <c r="A1292">
        <v>1341</v>
      </c>
      <c r="B1292" t="s">
        <v>458</v>
      </c>
      <c r="C1292" t="s">
        <v>17</v>
      </c>
      <c r="D1292" s="1">
        <v>42735</v>
      </c>
      <c r="E1292" s="2">
        <v>6786984000</v>
      </c>
      <c r="F1292" s="2">
        <v>5285568000</v>
      </c>
      <c r="G1292" s="2">
        <v>956158000</v>
      </c>
      <c r="H1292" t="s">
        <v>12</v>
      </c>
      <c r="I1292" t="s">
        <v>12</v>
      </c>
      <c r="J1292" t="s">
        <v>13</v>
      </c>
      <c r="K1292" t="s">
        <v>164</v>
      </c>
      <c r="L1292">
        <f t="shared" si="20"/>
        <v>0.22121991152476561</v>
      </c>
    </row>
    <row r="1293" spans="1:12" x14ac:dyDescent="0.2">
      <c r="A1293">
        <v>1342</v>
      </c>
      <c r="B1293" t="s">
        <v>459</v>
      </c>
      <c r="C1293" t="s">
        <v>11</v>
      </c>
      <c r="D1293" s="1">
        <v>41274</v>
      </c>
      <c r="E1293" s="2">
        <v>7688024000</v>
      </c>
      <c r="F1293" s="2">
        <v>5157434000</v>
      </c>
      <c r="G1293" s="2">
        <v>1011543000</v>
      </c>
      <c r="H1293" t="s">
        <v>12</v>
      </c>
      <c r="I1293" s="2">
        <v>730493000</v>
      </c>
      <c r="J1293" t="s">
        <v>19</v>
      </c>
      <c r="K1293" t="s">
        <v>133</v>
      </c>
      <c r="L1293">
        <f t="shared" si="20"/>
        <v>0.32916000262226031</v>
      </c>
    </row>
    <row r="1294" spans="1:12" x14ac:dyDescent="0.2">
      <c r="A1294">
        <v>1343</v>
      </c>
      <c r="B1294" t="s">
        <v>459</v>
      </c>
      <c r="C1294" t="s">
        <v>15</v>
      </c>
      <c r="D1294" s="1">
        <v>41639</v>
      </c>
      <c r="E1294" s="2">
        <v>7959894000</v>
      </c>
      <c r="F1294" s="2">
        <v>5305270000</v>
      </c>
      <c r="G1294" s="2">
        <v>1044819000</v>
      </c>
      <c r="H1294" t="s">
        <v>12</v>
      </c>
      <c r="I1294" s="2">
        <v>754711000</v>
      </c>
      <c r="J1294" t="s">
        <v>19</v>
      </c>
      <c r="K1294" t="s">
        <v>133</v>
      </c>
      <c r="L1294">
        <f t="shared" si="20"/>
        <v>0.33349991846625093</v>
      </c>
    </row>
    <row r="1295" spans="1:12" x14ac:dyDescent="0.2">
      <c r="A1295">
        <v>1344</v>
      </c>
      <c r="B1295" t="s">
        <v>459</v>
      </c>
      <c r="C1295" t="s">
        <v>16</v>
      </c>
      <c r="D1295" s="1">
        <v>42004</v>
      </c>
      <c r="E1295" s="2">
        <v>8073855000</v>
      </c>
      <c r="F1295" s="2">
        <v>5306281000</v>
      </c>
      <c r="G1295" s="2">
        <v>1048952000</v>
      </c>
      <c r="H1295" t="s">
        <v>12</v>
      </c>
      <c r="I1295" s="2">
        <v>772445000</v>
      </c>
      <c r="J1295" t="s">
        <v>19</v>
      </c>
      <c r="K1295" t="s">
        <v>133</v>
      </c>
      <c r="L1295">
        <f t="shared" si="20"/>
        <v>0.34278222732511299</v>
      </c>
    </row>
    <row r="1296" spans="1:12" x14ac:dyDescent="0.2">
      <c r="A1296">
        <v>1345</v>
      </c>
      <c r="B1296" t="s">
        <v>459</v>
      </c>
      <c r="C1296" t="s">
        <v>17</v>
      </c>
      <c r="D1296" s="1">
        <v>42369</v>
      </c>
      <c r="E1296" s="2">
        <v>8299074000</v>
      </c>
      <c r="F1296" s="2">
        <v>5099393000</v>
      </c>
      <c r="G1296" s="2">
        <v>1086504000</v>
      </c>
      <c r="H1296" t="s">
        <v>12</v>
      </c>
      <c r="I1296" s="2">
        <v>827008000</v>
      </c>
      <c r="J1296" t="s">
        <v>19</v>
      </c>
      <c r="K1296" t="s">
        <v>133</v>
      </c>
      <c r="L1296">
        <f t="shared" si="20"/>
        <v>0.38554674895054553</v>
      </c>
    </row>
    <row r="1297" spans="1:12" x14ac:dyDescent="0.2">
      <c r="A1297">
        <v>1346</v>
      </c>
      <c r="B1297" t="s">
        <v>460</v>
      </c>
      <c r="C1297" t="s">
        <v>11</v>
      </c>
      <c r="D1297" s="1">
        <v>41639</v>
      </c>
      <c r="E1297" s="2">
        <v>2104745000</v>
      </c>
      <c r="F1297" s="2">
        <v>155355000</v>
      </c>
      <c r="G1297" s="2">
        <v>346393000</v>
      </c>
      <c r="H1297" s="2">
        <v>859947000</v>
      </c>
      <c r="I1297" t="s">
        <v>12</v>
      </c>
      <c r="J1297" t="s">
        <v>25</v>
      </c>
      <c r="K1297" t="s">
        <v>66</v>
      </c>
      <c r="L1297">
        <f t="shared" si="20"/>
        <v>0.92618820807271185</v>
      </c>
    </row>
    <row r="1298" spans="1:12" x14ac:dyDescent="0.2">
      <c r="A1298">
        <v>1347</v>
      </c>
      <c r="B1298" t="s">
        <v>460</v>
      </c>
      <c r="C1298" t="s">
        <v>15</v>
      </c>
      <c r="D1298" s="1">
        <v>42004</v>
      </c>
      <c r="E1298" s="2">
        <v>2819557000</v>
      </c>
      <c r="F1298" s="2">
        <v>205018000</v>
      </c>
      <c r="G1298" s="2">
        <v>519267000</v>
      </c>
      <c r="H1298" s="2">
        <v>1271353000</v>
      </c>
      <c r="I1298" t="s">
        <v>12</v>
      </c>
      <c r="J1298" t="s">
        <v>25</v>
      </c>
      <c r="K1298" t="s">
        <v>66</v>
      </c>
      <c r="L1298">
        <f t="shared" si="20"/>
        <v>0.92728715894021652</v>
      </c>
    </row>
    <row r="1299" spans="1:12" x14ac:dyDescent="0.2">
      <c r="A1299">
        <v>1348</v>
      </c>
      <c r="B1299" t="s">
        <v>460</v>
      </c>
      <c r="C1299" t="s">
        <v>16</v>
      </c>
      <c r="D1299" s="1">
        <v>42369</v>
      </c>
      <c r="E1299" s="2">
        <v>4103728000</v>
      </c>
      <c r="F1299" s="2">
        <v>392709000</v>
      </c>
      <c r="G1299" s="2">
        <v>838526000</v>
      </c>
      <c r="H1299" s="2">
        <v>1620577000</v>
      </c>
      <c r="I1299" t="s">
        <v>12</v>
      </c>
      <c r="J1299" t="s">
        <v>25</v>
      </c>
      <c r="K1299" t="s">
        <v>66</v>
      </c>
      <c r="L1299">
        <f t="shared" si="20"/>
        <v>0.90430433011154732</v>
      </c>
    </row>
    <row r="1300" spans="1:12" x14ac:dyDescent="0.2">
      <c r="A1300">
        <v>1349</v>
      </c>
      <c r="B1300" t="s">
        <v>460</v>
      </c>
      <c r="C1300" t="s">
        <v>17</v>
      </c>
      <c r="D1300" s="1">
        <v>42735</v>
      </c>
      <c r="E1300" s="2">
        <v>4860427000</v>
      </c>
      <c r="F1300" s="2">
        <v>299694000</v>
      </c>
      <c r="G1300" s="2">
        <v>1177697000</v>
      </c>
      <c r="H1300" s="2">
        <v>2052295000</v>
      </c>
      <c r="I1300" t="s">
        <v>12</v>
      </c>
      <c r="J1300" t="s">
        <v>25</v>
      </c>
      <c r="K1300" t="s">
        <v>66</v>
      </c>
      <c r="L1300">
        <f t="shared" si="20"/>
        <v>0.93833998535519614</v>
      </c>
    </row>
    <row r="1301" spans="1:12" x14ac:dyDescent="0.2">
      <c r="A1301">
        <v>1350</v>
      </c>
      <c r="B1301" t="s">
        <v>461</v>
      </c>
      <c r="C1301" t="s">
        <v>11</v>
      </c>
      <c r="D1301" s="1">
        <v>41639</v>
      </c>
      <c r="E1301" s="2">
        <v>4245895000</v>
      </c>
      <c r="F1301" s="2">
        <v>2522803000</v>
      </c>
      <c r="G1301" s="2">
        <v>1324815000</v>
      </c>
      <c r="H1301" t="s">
        <v>12</v>
      </c>
      <c r="I1301" s="2">
        <v>1700000</v>
      </c>
      <c r="J1301" t="s">
        <v>13</v>
      </c>
      <c r="K1301" t="s">
        <v>462</v>
      </c>
      <c r="L1301">
        <f t="shared" si="20"/>
        <v>0.40582539134858497</v>
      </c>
    </row>
    <row r="1302" spans="1:12" x14ac:dyDescent="0.2">
      <c r="A1302">
        <v>1351</v>
      </c>
      <c r="B1302" t="s">
        <v>461</v>
      </c>
      <c r="C1302" t="s">
        <v>15</v>
      </c>
      <c r="D1302" s="1">
        <v>42004</v>
      </c>
      <c r="E1302" s="2">
        <v>4695014000</v>
      </c>
      <c r="F1302" s="2">
        <v>2772098000</v>
      </c>
      <c r="G1302" s="2">
        <v>1425734000</v>
      </c>
      <c r="H1302" t="s">
        <v>12</v>
      </c>
      <c r="I1302" s="2">
        <v>557000</v>
      </c>
      <c r="J1302" t="s">
        <v>13</v>
      </c>
      <c r="K1302" t="s">
        <v>462</v>
      </c>
      <c r="L1302">
        <f t="shared" si="20"/>
        <v>0.40956555188120847</v>
      </c>
    </row>
    <row r="1303" spans="1:12" x14ac:dyDescent="0.2">
      <c r="A1303">
        <v>1352</v>
      </c>
      <c r="B1303" t="s">
        <v>461</v>
      </c>
      <c r="C1303" t="s">
        <v>16</v>
      </c>
      <c r="D1303" s="1">
        <v>42369</v>
      </c>
      <c r="E1303" s="2">
        <v>5094933000</v>
      </c>
      <c r="F1303" s="2">
        <v>2980462000</v>
      </c>
      <c r="G1303" s="2">
        <v>1533799000</v>
      </c>
      <c r="H1303" t="s">
        <v>12</v>
      </c>
      <c r="I1303" s="2">
        <v>192000</v>
      </c>
      <c r="J1303" t="s">
        <v>13</v>
      </c>
      <c r="K1303" t="s">
        <v>462</v>
      </c>
      <c r="L1303">
        <f t="shared" si="20"/>
        <v>0.41501448596085566</v>
      </c>
    </row>
    <row r="1304" spans="1:12" x14ac:dyDescent="0.2">
      <c r="A1304">
        <v>1353</v>
      </c>
      <c r="B1304" t="s">
        <v>461</v>
      </c>
      <c r="C1304" t="s">
        <v>17</v>
      </c>
      <c r="D1304" s="1">
        <v>42735</v>
      </c>
      <c r="E1304" s="2">
        <v>5250399000</v>
      </c>
      <c r="F1304" s="2">
        <v>3089723000</v>
      </c>
      <c r="G1304" s="2">
        <v>1606217000</v>
      </c>
      <c r="H1304" t="s">
        <v>12</v>
      </c>
      <c r="I1304" s="2">
        <v>1237000</v>
      </c>
      <c r="J1304" t="s">
        <v>13</v>
      </c>
      <c r="K1304" t="s">
        <v>462</v>
      </c>
      <c r="L1304">
        <f t="shared" si="20"/>
        <v>0.41152605735297454</v>
      </c>
    </row>
    <row r="1305" spans="1:12" x14ac:dyDescent="0.2">
      <c r="A1305">
        <v>1354</v>
      </c>
      <c r="B1305" t="s">
        <v>463</v>
      </c>
      <c r="C1305" t="s">
        <v>11</v>
      </c>
      <c r="D1305" s="1">
        <v>41333</v>
      </c>
      <c r="E1305" s="2">
        <v>1328817000</v>
      </c>
      <c r="F1305" s="2">
        <v>200600000</v>
      </c>
      <c r="G1305" s="2">
        <v>660887000</v>
      </c>
      <c r="H1305" s="2">
        <v>263150000</v>
      </c>
      <c r="I1305" t="s">
        <v>12</v>
      </c>
      <c r="J1305" t="s">
        <v>22</v>
      </c>
      <c r="K1305" t="s">
        <v>400</v>
      </c>
      <c r="L1305">
        <f t="shared" si="20"/>
        <v>0.84903865618817342</v>
      </c>
    </row>
    <row r="1306" spans="1:12" x14ac:dyDescent="0.2">
      <c r="A1306">
        <v>1355</v>
      </c>
      <c r="B1306" t="s">
        <v>463</v>
      </c>
      <c r="C1306" t="s">
        <v>15</v>
      </c>
      <c r="D1306" s="1">
        <v>41698</v>
      </c>
      <c r="E1306" s="2">
        <v>1534615000</v>
      </c>
      <c r="F1306" s="2">
        <v>232600000</v>
      </c>
      <c r="G1306" s="2">
        <v>750292000</v>
      </c>
      <c r="H1306" s="2">
        <v>317263000</v>
      </c>
      <c r="I1306" t="s">
        <v>12</v>
      </c>
      <c r="J1306" t="s">
        <v>22</v>
      </c>
      <c r="K1306" t="s">
        <v>400</v>
      </c>
      <c r="L1306">
        <f t="shared" si="20"/>
        <v>0.84843103970702749</v>
      </c>
    </row>
    <row r="1307" spans="1:12" x14ac:dyDescent="0.2">
      <c r="A1307">
        <v>1356</v>
      </c>
      <c r="B1307" t="s">
        <v>463</v>
      </c>
      <c r="C1307" t="s">
        <v>16</v>
      </c>
      <c r="D1307" s="1">
        <v>42063</v>
      </c>
      <c r="E1307" s="2">
        <v>1789489000</v>
      </c>
      <c r="F1307" s="2">
        <v>273199000</v>
      </c>
      <c r="G1307" s="2">
        <v>898440000</v>
      </c>
      <c r="H1307" s="2">
        <v>367856000</v>
      </c>
      <c r="I1307" t="s">
        <v>12</v>
      </c>
      <c r="J1307" t="s">
        <v>22</v>
      </c>
      <c r="K1307" t="s">
        <v>400</v>
      </c>
      <c r="L1307">
        <f t="shared" si="20"/>
        <v>0.84733127725289181</v>
      </c>
    </row>
    <row r="1308" spans="1:12" x14ac:dyDescent="0.2">
      <c r="A1308">
        <v>1357</v>
      </c>
      <c r="B1308" t="s">
        <v>463</v>
      </c>
      <c r="C1308" t="s">
        <v>17</v>
      </c>
      <c r="D1308" s="1">
        <v>42429</v>
      </c>
      <c r="E1308" s="2">
        <v>2052230000</v>
      </c>
      <c r="F1308" s="2">
        <v>309629000</v>
      </c>
      <c r="G1308" s="2">
        <v>1041231000</v>
      </c>
      <c r="H1308" s="2">
        <v>413322000</v>
      </c>
      <c r="I1308" t="s">
        <v>12</v>
      </c>
      <c r="J1308" t="s">
        <v>22</v>
      </c>
      <c r="K1308" t="s">
        <v>400</v>
      </c>
      <c r="L1308">
        <f t="shared" si="20"/>
        <v>0.84912558533887528</v>
      </c>
    </row>
    <row r="1309" spans="1:12" x14ac:dyDescent="0.2">
      <c r="A1309">
        <v>1358</v>
      </c>
      <c r="B1309" t="s">
        <v>464</v>
      </c>
      <c r="C1309" t="s">
        <v>11</v>
      </c>
      <c r="D1309" s="1">
        <v>41363</v>
      </c>
      <c r="E1309" s="2">
        <v>6945000000</v>
      </c>
      <c r="F1309" s="2">
        <v>2789000000</v>
      </c>
      <c r="G1309" s="2">
        <v>2971000000</v>
      </c>
      <c r="H1309" t="s">
        <v>12</v>
      </c>
      <c r="I1309" s="2">
        <v>27000000</v>
      </c>
      <c r="J1309" t="s">
        <v>19</v>
      </c>
      <c r="K1309" t="s">
        <v>289</v>
      </c>
      <c r="L1309">
        <f t="shared" si="20"/>
        <v>0.59841612670986322</v>
      </c>
    </row>
    <row r="1310" spans="1:12" x14ac:dyDescent="0.2">
      <c r="A1310">
        <v>1359</v>
      </c>
      <c r="B1310" t="s">
        <v>464</v>
      </c>
      <c r="C1310" t="s">
        <v>15</v>
      </c>
      <c r="D1310" s="1">
        <v>41727</v>
      </c>
      <c r="E1310" s="2">
        <v>7450000000</v>
      </c>
      <c r="F1310" s="2">
        <v>3140000000</v>
      </c>
      <c r="G1310" s="2">
        <v>3142000000</v>
      </c>
      <c r="H1310" t="s">
        <v>12</v>
      </c>
      <c r="I1310" s="2">
        <v>35000000</v>
      </c>
      <c r="J1310" t="s">
        <v>19</v>
      </c>
      <c r="K1310" t="s">
        <v>289</v>
      </c>
      <c r="L1310">
        <f t="shared" si="20"/>
        <v>0.57852348993288594</v>
      </c>
    </row>
    <row r="1311" spans="1:12" x14ac:dyDescent="0.2">
      <c r="A1311">
        <v>1360</v>
      </c>
      <c r="B1311" t="s">
        <v>464</v>
      </c>
      <c r="C1311" t="s">
        <v>16</v>
      </c>
      <c r="D1311" s="1">
        <v>42091</v>
      </c>
      <c r="E1311" s="2">
        <v>7620000000</v>
      </c>
      <c r="F1311" s="2">
        <v>3242000000</v>
      </c>
      <c r="G1311" s="2">
        <v>3301000000</v>
      </c>
      <c r="H1311" t="s">
        <v>12</v>
      </c>
      <c r="I1311" s="2">
        <v>25000000</v>
      </c>
      <c r="J1311" t="s">
        <v>19</v>
      </c>
      <c r="K1311" t="s">
        <v>289</v>
      </c>
      <c r="L1311">
        <f t="shared" si="20"/>
        <v>0.57454068241469813</v>
      </c>
    </row>
    <row r="1312" spans="1:12" x14ac:dyDescent="0.2">
      <c r="A1312">
        <v>1361</v>
      </c>
      <c r="B1312" t="s">
        <v>464</v>
      </c>
      <c r="C1312" t="s">
        <v>17</v>
      </c>
      <c r="D1312" s="1">
        <v>42462</v>
      </c>
      <c r="E1312" s="2">
        <v>7405000000</v>
      </c>
      <c r="F1312" s="2">
        <v>3218000000</v>
      </c>
      <c r="G1312" s="2">
        <v>3389000000</v>
      </c>
      <c r="H1312" t="s">
        <v>12</v>
      </c>
      <c r="I1312" s="2">
        <v>24000000</v>
      </c>
      <c r="J1312" t="s">
        <v>19</v>
      </c>
      <c r="K1312" t="s">
        <v>289</v>
      </c>
      <c r="L1312">
        <f t="shared" si="20"/>
        <v>0.56542876434841327</v>
      </c>
    </row>
    <row r="1313" spans="1:12" x14ac:dyDescent="0.2">
      <c r="A1313">
        <v>1362</v>
      </c>
      <c r="B1313" t="s">
        <v>465</v>
      </c>
      <c r="C1313" t="s">
        <v>11</v>
      </c>
      <c r="D1313" s="1">
        <v>41547</v>
      </c>
      <c r="E1313" s="2">
        <v>6351900000</v>
      </c>
      <c r="F1313" s="2">
        <v>3778100000</v>
      </c>
      <c r="G1313" s="2">
        <v>1537700000</v>
      </c>
      <c r="H1313" t="s">
        <v>12</v>
      </c>
      <c r="I1313" t="s">
        <v>12</v>
      </c>
      <c r="J1313" t="s">
        <v>13</v>
      </c>
      <c r="K1313" t="s">
        <v>164</v>
      </c>
      <c r="L1313">
        <f t="shared" si="20"/>
        <v>0.40520159322407467</v>
      </c>
    </row>
    <row r="1314" spans="1:12" x14ac:dyDescent="0.2">
      <c r="A1314">
        <v>1363</v>
      </c>
      <c r="B1314" t="s">
        <v>465</v>
      </c>
      <c r="C1314" t="s">
        <v>15</v>
      </c>
      <c r="D1314" s="1">
        <v>41912</v>
      </c>
      <c r="E1314" s="2">
        <v>6623500000</v>
      </c>
      <c r="F1314" s="2">
        <v>3869600000</v>
      </c>
      <c r="G1314" s="2">
        <v>1570100000</v>
      </c>
      <c r="H1314" t="s">
        <v>12</v>
      </c>
      <c r="I1314" t="s">
        <v>12</v>
      </c>
      <c r="J1314" t="s">
        <v>13</v>
      </c>
      <c r="K1314" t="s">
        <v>164</v>
      </c>
      <c r="L1314">
        <f t="shared" si="20"/>
        <v>0.41577715709217178</v>
      </c>
    </row>
    <row r="1315" spans="1:12" x14ac:dyDescent="0.2">
      <c r="A1315">
        <v>1364</v>
      </c>
      <c r="B1315" t="s">
        <v>465</v>
      </c>
      <c r="C1315" t="s">
        <v>16</v>
      </c>
      <c r="D1315" s="1">
        <v>42277</v>
      </c>
      <c r="E1315" s="2">
        <v>6307900000</v>
      </c>
      <c r="F1315" s="2">
        <v>3604800000</v>
      </c>
      <c r="G1315" s="2">
        <v>1506400000</v>
      </c>
      <c r="H1315" t="s">
        <v>12</v>
      </c>
      <c r="I1315" t="s">
        <v>12</v>
      </c>
      <c r="J1315" t="s">
        <v>13</v>
      </c>
      <c r="K1315" t="s">
        <v>164</v>
      </c>
      <c r="L1315">
        <f t="shared" si="20"/>
        <v>0.42852613389559124</v>
      </c>
    </row>
    <row r="1316" spans="1:12" x14ac:dyDescent="0.2">
      <c r="A1316">
        <v>1365</v>
      </c>
      <c r="B1316" t="s">
        <v>465</v>
      </c>
      <c r="C1316" t="s">
        <v>17</v>
      </c>
      <c r="D1316" s="1">
        <v>42643</v>
      </c>
      <c r="E1316" s="2">
        <v>5879500000</v>
      </c>
      <c r="F1316" s="2">
        <v>3404000000</v>
      </c>
      <c r="G1316" s="2">
        <v>1467400000</v>
      </c>
      <c r="H1316" t="s">
        <v>12</v>
      </c>
      <c r="I1316" t="s">
        <v>12</v>
      </c>
      <c r="J1316" t="s">
        <v>13</v>
      </c>
      <c r="K1316" t="s">
        <v>164</v>
      </c>
      <c r="L1316">
        <f t="shared" si="20"/>
        <v>0.42103920401394679</v>
      </c>
    </row>
    <row r="1317" spans="1:12" x14ac:dyDescent="0.2">
      <c r="A1317">
        <v>1366</v>
      </c>
      <c r="B1317" t="s">
        <v>466</v>
      </c>
      <c r="C1317" t="s">
        <v>11</v>
      </c>
      <c r="D1317" s="1">
        <v>41274</v>
      </c>
      <c r="E1317" s="2">
        <v>2993489000</v>
      </c>
      <c r="F1317" s="2">
        <v>1321772000</v>
      </c>
      <c r="G1317" s="2">
        <v>914130000</v>
      </c>
      <c r="H1317" t="s">
        <v>12</v>
      </c>
      <c r="I1317" t="s">
        <v>12</v>
      </c>
      <c r="J1317" t="s">
        <v>13</v>
      </c>
      <c r="K1317" t="s">
        <v>164</v>
      </c>
      <c r="L1317">
        <f t="shared" si="20"/>
        <v>0.55845102487431886</v>
      </c>
    </row>
    <row r="1318" spans="1:12" x14ac:dyDescent="0.2">
      <c r="A1318">
        <v>1367</v>
      </c>
      <c r="B1318" t="s">
        <v>466</v>
      </c>
      <c r="C1318" t="s">
        <v>15</v>
      </c>
      <c r="D1318" s="1">
        <v>41639</v>
      </c>
      <c r="E1318" s="2">
        <v>3238128000</v>
      </c>
      <c r="F1318" s="2">
        <v>1355200000</v>
      </c>
      <c r="G1318" s="2">
        <v>1040567000</v>
      </c>
      <c r="H1318" t="s">
        <v>12</v>
      </c>
      <c r="I1318" t="s">
        <v>12</v>
      </c>
      <c r="J1318" t="s">
        <v>13</v>
      </c>
      <c r="K1318" t="s">
        <v>164</v>
      </c>
      <c r="L1318">
        <f t="shared" si="20"/>
        <v>0.58148658731217551</v>
      </c>
    </row>
    <row r="1319" spans="1:12" x14ac:dyDescent="0.2">
      <c r="A1319">
        <v>1368</v>
      </c>
      <c r="B1319" t="s">
        <v>466</v>
      </c>
      <c r="C1319" t="s">
        <v>16</v>
      </c>
      <c r="D1319" s="1">
        <v>42004</v>
      </c>
      <c r="E1319" s="2">
        <v>3549494000</v>
      </c>
      <c r="F1319" s="2">
        <v>1447595000</v>
      </c>
      <c r="G1319" s="2">
        <v>1102426000</v>
      </c>
      <c r="H1319" t="s">
        <v>12</v>
      </c>
      <c r="I1319" t="s">
        <v>12</v>
      </c>
      <c r="J1319" t="s">
        <v>13</v>
      </c>
      <c r="K1319" t="s">
        <v>164</v>
      </c>
      <c r="L1319">
        <f t="shared" si="20"/>
        <v>0.59216863023292898</v>
      </c>
    </row>
    <row r="1320" spans="1:12" x14ac:dyDescent="0.2">
      <c r="A1320">
        <v>1369</v>
      </c>
      <c r="B1320" t="s">
        <v>466</v>
      </c>
      <c r="C1320" t="s">
        <v>17</v>
      </c>
      <c r="D1320" s="1">
        <v>42369</v>
      </c>
      <c r="E1320" s="2">
        <v>3582395000</v>
      </c>
      <c r="F1320" s="2">
        <v>1417749000</v>
      </c>
      <c r="G1320" s="2">
        <v>1136728000</v>
      </c>
      <c r="H1320" t="s">
        <v>12</v>
      </c>
      <c r="I1320" t="s">
        <v>12</v>
      </c>
      <c r="J1320" t="s">
        <v>13</v>
      </c>
      <c r="K1320" t="s">
        <v>164</v>
      </c>
      <c r="L1320">
        <f t="shared" si="20"/>
        <v>0.60424548381739029</v>
      </c>
    </row>
    <row r="1321" spans="1:12" x14ac:dyDescent="0.2">
      <c r="A1321">
        <v>1370</v>
      </c>
      <c r="B1321" t="s">
        <v>467</v>
      </c>
      <c r="C1321" t="s">
        <v>11</v>
      </c>
      <c r="D1321" s="1">
        <v>41307</v>
      </c>
      <c r="E1321" s="2">
        <v>9721065000</v>
      </c>
      <c r="F1321" s="2">
        <v>7011428000</v>
      </c>
      <c r="G1321" s="2">
        <v>1437886000</v>
      </c>
      <c r="H1321" t="s">
        <v>12</v>
      </c>
      <c r="I1321" t="s">
        <v>12</v>
      </c>
      <c r="J1321" t="s">
        <v>19</v>
      </c>
      <c r="K1321" t="s">
        <v>257</v>
      </c>
      <c r="L1321">
        <f t="shared" si="20"/>
        <v>0.27873869786900918</v>
      </c>
    </row>
    <row r="1322" spans="1:12" x14ac:dyDescent="0.2">
      <c r="A1322">
        <v>1371</v>
      </c>
      <c r="B1322" t="s">
        <v>467</v>
      </c>
      <c r="C1322" t="s">
        <v>15</v>
      </c>
      <c r="D1322" s="1">
        <v>41671</v>
      </c>
      <c r="E1322" s="2">
        <v>10230353000</v>
      </c>
      <c r="F1322" s="2">
        <v>7360924000</v>
      </c>
      <c r="G1322" s="2">
        <v>1526366000</v>
      </c>
      <c r="H1322" t="s">
        <v>12</v>
      </c>
      <c r="I1322" t="s">
        <v>12</v>
      </c>
      <c r="J1322" t="s">
        <v>19</v>
      </c>
      <c r="K1322" t="s">
        <v>257</v>
      </c>
      <c r="L1322">
        <f t="shared" si="20"/>
        <v>0.28048191494467489</v>
      </c>
    </row>
    <row r="1323" spans="1:12" x14ac:dyDescent="0.2">
      <c r="A1323">
        <v>1372</v>
      </c>
      <c r="B1323" t="s">
        <v>467</v>
      </c>
      <c r="C1323" t="s">
        <v>16</v>
      </c>
      <c r="D1323" s="1">
        <v>42035</v>
      </c>
      <c r="E1323" s="2">
        <v>11041677000</v>
      </c>
      <c r="F1323" s="2">
        <v>7937956000</v>
      </c>
      <c r="G1323" s="2">
        <v>1615371000</v>
      </c>
      <c r="H1323" t="s">
        <v>12</v>
      </c>
      <c r="I1323" t="s">
        <v>12</v>
      </c>
      <c r="J1323" t="s">
        <v>19</v>
      </c>
      <c r="K1323" t="s">
        <v>257</v>
      </c>
      <c r="L1323">
        <f t="shared" si="20"/>
        <v>0.28109145014837877</v>
      </c>
    </row>
    <row r="1324" spans="1:12" x14ac:dyDescent="0.2">
      <c r="A1324">
        <v>1373</v>
      </c>
      <c r="B1324" t="s">
        <v>467</v>
      </c>
      <c r="C1324" t="s">
        <v>17</v>
      </c>
      <c r="D1324" s="1">
        <v>42399</v>
      </c>
      <c r="E1324" s="2">
        <v>11939999000</v>
      </c>
      <c r="F1324" s="2">
        <v>8576873000</v>
      </c>
      <c r="G1324" s="2">
        <v>1738755000</v>
      </c>
      <c r="H1324" t="s">
        <v>12</v>
      </c>
      <c r="I1324" t="s">
        <v>12</v>
      </c>
      <c r="J1324" t="s">
        <v>19</v>
      </c>
      <c r="K1324" t="s">
        <v>257</v>
      </c>
      <c r="L1324">
        <f t="shared" si="20"/>
        <v>0.28166886781146294</v>
      </c>
    </row>
    <row r="1325" spans="1:12" x14ac:dyDescent="0.2">
      <c r="A1325">
        <v>1374</v>
      </c>
      <c r="B1325" t="s">
        <v>468</v>
      </c>
      <c r="C1325" t="s">
        <v>11</v>
      </c>
      <c r="D1325" s="1">
        <v>41274</v>
      </c>
      <c r="E1325" s="2">
        <v>1367135000</v>
      </c>
      <c r="F1325" s="2">
        <v>328784000</v>
      </c>
      <c r="G1325" s="2">
        <v>248136000</v>
      </c>
      <c r="H1325" t="s">
        <v>12</v>
      </c>
      <c r="I1325" s="2">
        <v>445228000</v>
      </c>
      <c r="J1325" t="s">
        <v>83</v>
      </c>
      <c r="K1325" t="s">
        <v>84</v>
      </c>
      <c r="L1325">
        <f t="shared" si="20"/>
        <v>0.75950875370757098</v>
      </c>
    </row>
    <row r="1326" spans="1:12" x14ac:dyDescent="0.2">
      <c r="A1326">
        <v>1375</v>
      </c>
      <c r="B1326" t="s">
        <v>468</v>
      </c>
      <c r="C1326" t="s">
        <v>15</v>
      </c>
      <c r="D1326" s="1">
        <v>41639</v>
      </c>
      <c r="E1326" s="2">
        <v>1832253000</v>
      </c>
      <c r="F1326" s="2">
        <v>516119000</v>
      </c>
      <c r="G1326" s="2">
        <v>391707000</v>
      </c>
      <c r="H1326" t="s">
        <v>12</v>
      </c>
      <c r="I1326" s="2">
        <v>492397000</v>
      </c>
      <c r="J1326" t="s">
        <v>83</v>
      </c>
      <c r="K1326" t="s">
        <v>84</v>
      </c>
      <c r="L1326">
        <f t="shared" si="20"/>
        <v>0.71831455590467042</v>
      </c>
    </row>
    <row r="1327" spans="1:12" x14ac:dyDescent="0.2">
      <c r="A1327">
        <v>1376</v>
      </c>
      <c r="B1327" t="s">
        <v>468</v>
      </c>
      <c r="C1327" t="s">
        <v>16</v>
      </c>
      <c r="D1327" s="1">
        <v>42004</v>
      </c>
      <c r="E1327" s="2">
        <v>2042537000</v>
      </c>
      <c r="F1327" s="2">
        <v>605752000</v>
      </c>
      <c r="G1327" s="2">
        <v>191802000</v>
      </c>
      <c r="H1327" t="s">
        <v>12</v>
      </c>
      <c r="I1327" s="2">
        <v>551032000</v>
      </c>
      <c r="J1327" t="s">
        <v>83</v>
      </c>
      <c r="K1327" t="s">
        <v>84</v>
      </c>
      <c r="L1327">
        <f t="shared" si="20"/>
        <v>0.70343156574397425</v>
      </c>
    </row>
    <row r="1328" spans="1:12" x14ac:dyDescent="0.2">
      <c r="A1328">
        <v>1377</v>
      </c>
      <c r="B1328" t="s">
        <v>468</v>
      </c>
      <c r="C1328" t="s">
        <v>17</v>
      </c>
      <c r="D1328" s="1">
        <v>42369</v>
      </c>
      <c r="E1328" s="2">
        <v>1181704000</v>
      </c>
      <c r="F1328" s="2">
        <v>648968000</v>
      </c>
      <c r="G1328" s="2">
        <v>165318000</v>
      </c>
      <c r="H1328" t="s">
        <v>12</v>
      </c>
      <c r="I1328" s="2">
        <v>581155000</v>
      </c>
      <c r="J1328" t="s">
        <v>83</v>
      </c>
      <c r="K1328" t="s">
        <v>84</v>
      </c>
      <c r="L1328">
        <f t="shared" si="20"/>
        <v>0.45082017154888199</v>
      </c>
    </row>
    <row r="1329" spans="1:12" x14ac:dyDescent="0.2">
      <c r="A1329">
        <v>1378</v>
      </c>
      <c r="B1329" t="s">
        <v>469</v>
      </c>
      <c r="C1329" t="s">
        <v>11</v>
      </c>
      <c r="D1329" s="1">
        <v>41639</v>
      </c>
      <c r="E1329" s="2">
        <v>8417200000</v>
      </c>
      <c r="F1329" s="2">
        <v>5234700000</v>
      </c>
      <c r="G1329" s="2">
        <v>1088100000</v>
      </c>
      <c r="H1329" t="s">
        <v>12</v>
      </c>
      <c r="I1329" s="2">
        <v>877400000</v>
      </c>
      <c r="J1329" t="s">
        <v>13</v>
      </c>
      <c r="K1329" t="s">
        <v>164</v>
      </c>
      <c r="L1329">
        <f t="shared" si="20"/>
        <v>0.37809485339542837</v>
      </c>
    </row>
    <row r="1330" spans="1:12" x14ac:dyDescent="0.2">
      <c r="A1330">
        <v>1379</v>
      </c>
      <c r="B1330" t="s">
        <v>469</v>
      </c>
      <c r="C1330" t="s">
        <v>15</v>
      </c>
      <c r="D1330" s="1">
        <v>42004</v>
      </c>
      <c r="E1330" s="2">
        <v>8803300000</v>
      </c>
      <c r="F1330" s="2">
        <v>5643100000</v>
      </c>
      <c r="G1330" s="2">
        <v>998400000</v>
      </c>
      <c r="H1330" t="s">
        <v>12</v>
      </c>
      <c r="I1330" s="2">
        <v>906900000</v>
      </c>
      <c r="J1330" t="s">
        <v>13</v>
      </c>
      <c r="K1330" t="s">
        <v>164</v>
      </c>
      <c r="L1330">
        <f t="shared" si="20"/>
        <v>0.35897901923142461</v>
      </c>
    </row>
    <row r="1331" spans="1:12" x14ac:dyDescent="0.2">
      <c r="A1331">
        <v>1380</v>
      </c>
      <c r="B1331" t="s">
        <v>469</v>
      </c>
      <c r="C1331" t="s">
        <v>16</v>
      </c>
      <c r="D1331" s="1">
        <v>42369</v>
      </c>
      <c r="E1331" s="2">
        <v>9115000000</v>
      </c>
      <c r="F1331" s="2">
        <v>5518600000</v>
      </c>
      <c r="G1331" s="2">
        <v>1067000000</v>
      </c>
      <c r="H1331" t="s">
        <v>12</v>
      </c>
      <c r="I1331" s="2">
        <v>970600000</v>
      </c>
      <c r="J1331" t="s">
        <v>13</v>
      </c>
      <c r="K1331" t="s">
        <v>164</v>
      </c>
      <c r="L1331">
        <f t="shared" si="20"/>
        <v>0.39455842018650578</v>
      </c>
    </row>
    <row r="1332" spans="1:12" x14ac:dyDescent="0.2">
      <c r="A1332">
        <v>1381</v>
      </c>
      <c r="B1332" t="s">
        <v>469</v>
      </c>
      <c r="C1332" t="s">
        <v>17</v>
      </c>
      <c r="D1332" s="1">
        <v>42735</v>
      </c>
      <c r="E1332" s="2">
        <v>9387700000</v>
      </c>
      <c r="F1332" s="2">
        <v>5764000000</v>
      </c>
      <c r="G1332" s="2">
        <v>1054500000</v>
      </c>
      <c r="H1332" t="s">
        <v>12</v>
      </c>
      <c r="I1332" s="2">
        <v>991100000</v>
      </c>
      <c r="J1332" t="s">
        <v>13</v>
      </c>
      <c r="K1332" t="s">
        <v>164</v>
      </c>
      <c r="L1332">
        <f t="shared" si="20"/>
        <v>0.38600509176901687</v>
      </c>
    </row>
    <row r="1333" spans="1:12" x14ac:dyDescent="0.2">
      <c r="A1333">
        <v>1382</v>
      </c>
      <c r="B1333" t="s">
        <v>470</v>
      </c>
      <c r="C1333" t="s">
        <v>11</v>
      </c>
      <c r="D1333" s="1">
        <v>41546</v>
      </c>
      <c r="E1333" s="2">
        <v>14866800000</v>
      </c>
      <c r="F1333" s="2">
        <v>6382300000</v>
      </c>
      <c r="G1333" s="2">
        <v>5655800000</v>
      </c>
      <c r="H1333" t="s">
        <v>12</v>
      </c>
      <c r="I1333" s="2">
        <v>621400000</v>
      </c>
      <c r="J1333" t="s">
        <v>19</v>
      </c>
      <c r="K1333" t="s">
        <v>155</v>
      </c>
      <c r="L1333">
        <f t="shared" si="20"/>
        <v>0.57070115963085533</v>
      </c>
    </row>
    <row r="1334" spans="1:12" x14ac:dyDescent="0.2">
      <c r="A1334">
        <v>1383</v>
      </c>
      <c r="B1334" t="s">
        <v>470</v>
      </c>
      <c r="C1334" t="s">
        <v>15</v>
      </c>
      <c r="D1334" s="1">
        <v>41910</v>
      </c>
      <c r="E1334" s="2">
        <v>16447800000</v>
      </c>
      <c r="F1334" s="2">
        <v>6858800000</v>
      </c>
      <c r="G1334" s="2">
        <v>6086800000</v>
      </c>
      <c r="H1334" t="s">
        <v>12</v>
      </c>
      <c r="I1334" s="2">
        <v>709600000</v>
      </c>
      <c r="J1334" t="s">
        <v>19</v>
      </c>
      <c r="K1334" t="s">
        <v>155</v>
      </c>
      <c r="L1334">
        <f t="shared" si="20"/>
        <v>0.58299590218752662</v>
      </c>
    </row>
    <row r="1335" spans="1:12" x14ac:dyDescent="0.2">
      <c r="A1335">
        <v>1384</v>
      </c>
      <c r="B1335" t="s">
        <v>470</v>
      </c>
      <c r="C1335" t="s">
        <v>16</v>
      </c>
      <c r="D1335" s="1">
        <v>42274</v>
      </c>
      <c r="E1335" s="2">
        <v>19162700000</v>
      </c>
      <c r="F1335" s="2">
        <v>7787500000</v>
      </c>
      <c r="G1335" s="2">
        <v>7130200000</v>
      </c>
      <c r="H1335" t="s">
        <v>12</v>
      </c>
      <c r="I1335" s="2">
        <v>893900000</v>
      </c>
      <c r="J1335" t="s">
        <v>19</v>
      </c>
      <c r="K1335" t="s">
        <v>155</v>
      </c>
      <c r="L1335">
        <f t="shared" si="20"/>
        <v>0.59361154743329492</v>
      </c>
    </row>
    <row r="1336" spans="1:12" x14ac:dyDescent="0.2">
      <c r="A1336">
        <v>1385</v>
      </c>
      <c r="B1336" t="s">
        <v>470</v>
      </c>
      <c r="C1336" t="s">
        <v>17</v>
      </c>
      <c r="D1336" s="1">
        <v>42645</v>
      </c>
      <c r="E1336" s="2">
        <v>21315900000</v>
      </c>
      <c r="F1336" s="2">
        <v>8511100000</v>
      </c>
      <c r="G1336" s="2">
        <v>7970300000</v>
      </c>
      <c r="H1336" t="s">
        <v>12</v>
      </c>
      <c r="I1336" s="2">
        <v>980800000</v>
      </c>
      <c r="J1336" t="s">
        <v>19</v>
      </c>
      <c r="K1336" t="s">
        <v>155</v>
      </c>
      <c r="L1336">
        <f t="shared" si="20"/>
        <v>0.60071589752250665</v>
      </c>
    </row>
    <row r="1337" spans="1:12" x14ac:dyDescent="0.2">
      <c r="A1337">
        <v>1386</v>
      </c>
      <c r="B1337" t="s">
        <v>471</v>
      </c>
      <c r="C1337" t="s">
        <v>11</v>
      </c>
      <c r="D1337" s="1">
        <v>41274</v>
      </c>
      <c r="E1337" s="2">
        <v>4176000000</v>
      </c>
      <c r="F1337" s="2">
        <v>2754000000</v>
      </c>
      <c r="G1337" s="2">
        <v>207000000</v>
      </c>
      <c r="H1337" t="s">
        <v>12</v>
      </c>
      <c r="I1337" s="2">
        <v>356000000</v>
      </c>
      <c r="J1337" t="s">
        <v>42</v>
      </c>
      <c r="K1337" t="s">
        <v>43</v>
      </c>
      <c r="L1337">
        <f t="shared" si="20"/>
        <v>0.34051724137931039</v>
      </c>
    </row>
    <row r="1338" spans="1:12" x14ac:dyDescent="0.2">
      <c r="A1338">
        <v>1387</v>
      </c>
      <c r="B1338" t="s">
        <v>471</v>
      </c>
      <c r="C1338" t="s">
        <v>15</v>
      </c>
      <c r="D1338" s="1">
        <v>41639</v>
      </c>
      <c r="E1338" s="2">
        <v>4495000000</v>
      </c>
      <c r="F1338" s="2">
        <v>2987000000</v>
      </c>
      <c r="G1338" s="2">
        <v>220000000</v>
      </c>
      <c r="H1338" t="s">
        <v>12</v>
      </c>
      <c r="I1338" s="2">
        <v>378000000</v>
      </c>
      <c r="J1338" t="s">
        <v>42</v>
      </c>
      <c r="K1338" t="s">
        <v>43</v>
      </c>
      <c r="L1338">
        <f t="shared" si="20"/>
        <v>0.3354838709677419</v>
      </c>
    </row>
    <row r="1339" spans="1:12" x14ac:dyDescent="0.2">
      <c r="A1339">
        <v>1388</v>
      </c>
      <c r="B1339" t="s">
        <v>471</v>
      </c>
      <c r="C1339" t="s">
        <v>16</v>
      </c>
      <c r="D1339" s="1">
        <v>42004</v>
      </c>
      <c r="E1339" s="2">
        <v>4951000000</v>
      </c>
      <c r="F1339" s="2">
        <v>3331000000</v>
      </c>
      <c r="G1339" s="2">
        <v>229000000</v>
      </c>
      <c r="H1339" t="s">
        <v>12</v>
      </c>
      <c r="I1339" s="2">
        <v>384000000</v>
      </c>
      <c r="J1339" t="s">
        <v>42</v>
      </c>
      <c r="K1339" t="s">
        <v>43</v>
      </c>
      <c r="L1339">
        <f t="shared" si="20"/>
        <v>0.32720662492425767</v>
      </c>
    </row>
    <row r="1340" spans="1:12" x14ac:dyDescent="0.2">
      <c r="A1340">
        <v>1389</v>
      </c>
      <c r="B1340" t="s">
        <v>471</v>
      </c>
      <c r="C1340" t="s">
        <v>17</v>
      </c>
      <c r="D1340" s="1">
        <v>42369</v>
      </c>
      <c r="E1340" s="2">
        <v>4380000000</v>
      </c>
      <c r="F1340" s="2">
        <v>2714000000</v>
      </c>
      <c r="G1340" s="2">
        <v>234000000</v>
      </c>
      <c r="H1340" t="s">
        <v>12</v>
      </c>
      <c r="I1340" s="2">
        <v>358000000</v>
      </c>
      <c r="J1340" t="s">
        <v>42</v>
      </c>
      <c r="K1340" t="s">
        <v>43</v>
      </c>
      <c r="L1340">
        <f t="shared" si="20"/>
        <v>0.38036529680365294</v>
      </c>
    </row>
    <row r="1341" spans="1:12" x14ac:dyDescent="0.2">
      <c r="A1341">
        <v>1394</v>
      </c>
      <c r="B1341" t="s">
        <v>472</v>
      </c>
      <c r="C1341" t="s">
        <v>11</v>
      </c>
      <c r="D1341" s="1">
        <v>41274</v>
      </c>
      <c r="E1341" s="2">
        <v>5075000000</v>
      </c>
      <c r="F1341" s="2">
        <v>2417000000</v>
      </c>
      <c r="G1341" s="2">
        <v>337000000</v>
      </c>
      <c r="H1341" t="s">
        <v>12</v>
      </c>
      <c r="I1341" s="2">
        <v>746000000</v>
      </c>
      <c r="J1341" t="s">
        <v>83</v>
      </c>
      <c r="K1341" t="s">
        <v>341</v>
      </c>
      <c r="L1341">
        <f t="shared" si="20"/>
        <v>0.52374384236453198</v>
      </c>
    </row>
    <row r="1342" spans="1:12" x14ac:dyDescent="0.2">
      <c r="A1342">
        <v>1395</v>
      </c>
      <c r="B1342" t="s">
        <v>472</v>
      </c>
      <c r="C1342" t="s">
        <v>15</v>
      </c>
      <c r="D1342" s="1">
        <v>41639</v>
      </c>
      <c r="E1342" s="2">
        <v>5518000000</v>
      </c>
      <c r="F1342" s="2">
        <v>2707000000</v>
      </c>
      <c r="G1342" s="2">
        <v>373000000</v>
      </c>
      <c r="H1342" t="s">
        <v>12</v>
      </c>
      <c r="I1342" s="2">
        <v>772000000</v>
      </c>
      <c r="J1342" t="s">
        <v>83</v>
      </c>
      <c r="K1342" t="s">
        <v>341</v>
      </c>
      <c r="L1342">
        <f t="shared" si="20"/>
        <v>0.50942370424066685</v>
      </c>
    </row>
    <row r="1343" spans="1:12" x14ac:dyDescent="0.2">
      <c r="A1343">
        <v>1396</v>
      </c>
      <c r="B1343" t="s">
        <v>472</v>
      </c>
      <c r="C1343" t="s">
        <v>16</v>
      </c>
      <c r="D1343" s="1">
        <v>42004</v>
      </c>
      <c r="E1343" s="2">
        <v>5903000000</v>
      </c>
      <c r="F1343" s="2">
        <v>2790000000</v>
      </c>
      <c r="G1343" s="2">
        <v>393000000</v>
      </c>
      <c r="H1343" t="s">
        <v>12</v>
      </c>
      <c r="I1343" s="2">
        <v>796000000</v>
      </c>
      <c r="J1343" t="s">
        <v>83</v>
      </c>
      <c r="K1343" t="s">
        <v>341</v>
      </c>
      <c r="L1343">
        <f t="shared" si="20"/>
        <v>0.52735897001524656</v>
      </c>
    </row>
    <row r="1344" spans="1:12" x14ac:dyDescent="0.2">
      <c r="A1344">
        <v>1397</v>
      </c>
      <c r="B1344" t="s">
        <v>472</v>
      </c>
      <c r="C1344" t="s">
        <v>17</v>
      </c>
      <c r="D1344" s="1">
        <v>42369</v>
      </c>
      <c r="E1344" s="2">
        <v>5234000000</v>
      </c>
      <c r="F1344" s="2">
        <v>2335000000</v>
      </c>
      <c r="G1344" s="2">
        <v>353000000</v>
      </c>
      <c r="H1344" t="s">
        <v>12</v>
      </c>
      <c r="I1344" s="2">
        <v>764000000</v>
      </c>
      <c r="J1344" t="s">
        <v>83</v>
      </c>
      <c r="K1344" t="s">
        <v>341</v>
      </c>
      <c r="L1344">
        <f t="shared" si="20"/>
        <v>0.55387848681696594</v>
      </c>
    </row>
    <row r="1345" spans="1:12" x14ac:dyDescent="0.2">
      <c r="A1345">
        <v>1398</v>
      </c>
      <c r="B1345" t="s">
        <v>473</v>
      </c>
      <c r="C1345" t="s">
        <v>11</v>
      </c>
      <c r="D1345" s="1">
        <v>41639</v>
      </c>
      <c r="E1345" s="2">
        <v>7690800000</v>
      </c>
      <c r="F1345" s="2">
        <v>5100900000</v>
      </c>
      <c r="G1345" s="2">
        <v>1788300000</v>
      </c>
      <c r="H1345" t="s">
        <v>12</v>
      </c>
      <c r="I1345" s="2">
        <v>123200000</v>
      </c>
      <c r="J1345" t="s">
        <v>59</v>
      </c>
      <c r="K1345" t="s">
        <v>96</v>
      </c>
      <c r="L1345">
        <f t="shared" si="20"/>
        <v>0.33675300358870341</v>
      </c>
    </row>
    <row r="1346" spans="1:12" x14ac:dyDescent="0.2">
      <c r="A1346">
        <v>1399</v>
      </c>
      <c r="B1346" t="s">
        <v>473</v>
      </c>
      <c r="C1346" t="s">
        <v>15</v>
      </c>
      <c r="D1346" s="1">
        <v>42004</v>
      </c>
      <c r="E1346" s="2">
        <v>7750500000</v>
      </c>
      <c r="F1346" s="2">
        <v>5062900000</v>
      </c>
      <c r="G1346" s="2">
        <v>1849400000</v>
      </c>
      <c r="H1346" t="s">
        <v>12</v>
      </c>
      <c r="I1346" s="2">
        <v>118900000</v>
      </c>
      <c r="J1346" t="s">
        <v>59</v>
      </c>
      <c r="K1346" t="s">
        <v>96</v>
      </c>
      <c r="L1346">
        <f t="shared" si="20"/>
        <v>0.34676472485646093</v>
      </c>
    </row>
    <row r="1347" spans="1:12" x14ac:dyDescent="0.2">
      <c r="A1347">
        <v>1400</v>
      </c>
      <c r="B1347" t="s">
        <v>473</v>
      </c>
      <c r="C1347" t="s">
        <v>16</v>
      </c>
      <c r="D1347" s="1">
        <v>42369</v>
      </c>
      <c r="E1347" s="2">
        <v>7031500000</v>
      </c>
      <c r="F1347" s="2">
        <v>4444900000</v>
      </c>
      <c r="G1347" s="2">
        <v>1656200000</v>
      </c>
      <c r="H1347" t="s">
        <v>12</v>
      </c>
      <c r="I1347" s="2">
        <v>88700000</v>
      </c>
      <c r="J1347" t="s">
        <v>59</v>
      </c>
      <c r="K1347" t="s">
        <v>96</v>
      </c>
      <c r="L1347">
        <f t="shared" ref="L1347:L1410" si="21">1-F1347/E1347</f>
        <v>0.36785892057171299</v>
      </c>
    </row>
    <row r="1348" spans="1:12" x14ac:dyDescent="0.2">
      <c r="A1348">
        <v>1401</v>
      </c>
      <c r="B1348" t="s">
        <v>473</v>
      </c>
      <c r="C1348" t="s">
        <v>17</v>
      </c>
      <c r="D1348" s="1">
        <v>42735</v>
      </c>
      <c r="E1348" s="2">
        <v>6778300000</v>
      </c>
      <c r="F1348" s="2">
        <v>4246700000</v>
      </c>
      <c r="G1348" s="2">
        <v>1604400000</v>
      </c>
      <c r="H1348" t="s">
        <v>12</v>
      </c>
      <c r="I1348" s="2">
        <v>94900000</v>
      </c>
      <c r="J1348" t="s">
        <v>59</v>
      </c>
      <c r="K1348" t="s">
        <v>96</v>
      </c>
      <c r="L1348">
        <f t="shared" si="21"/>
        <v>0.37348597730994493</v>
      </c>
    </row>
    <row r="1349" spans="1:12" x14ac:dyDescent="0.2">
      <c r="A1349">
        <v>1402</v>
      </c>
      <c r="B1349" t="s">
        <v>474</v>
      </c>
      <c r="C1349" t="s">
        <v>11</v>
      </c>
      <c r="D1349" s="1">
        <v>41274</v>
      </c>
      <c r="E1349" s="2">
        <v>9534462000</v>
      </c>
      <c r="F1349" s="2">
        <v>5328236000</v>
      </c>
      <c r="G1349" s="2">
        <v>3264896000</v>
      </c>
      <c r="H1349" t="s">
        <v>12</v>
      </c>
      <c r="I1349" t="s">
        <v>12</v>
      </c>
      <c r="J1349" t="s">
        <v>59</v>
      </c>
      <c r="K1349" t="s">
        <v>60</v>
      </c>
      <c r="L1349">
        <f t="shared" si="21"/>
        <v>0.44116028780648553</v>
      </c>
    </row>
    <row r="1350" spans="1:12" x14ac:dyDescent="0.2">
      <c r="A1350">
        <v>1403</v>
      </c>
      <c r="B1350" t="s">
        <v>474</v>
      </c>
      <c r="C1350" t="s">
        <v>15</v>
      </c>
      <c r="D1350" s="1">
        <v>41639</v>
      </c>
      <c r="E1350" s="2">
        <v>10185532000</v>
      </c>
      <c r="F1350" s="2">
        <v>5568966000</v>
      </c>
      <c r="G1350" s="2">
        <v>3470200000</v>
      </c>
      <c r="H1350" t="s">
        <v>12</v>
      </c>
      <c r="I1350" t="s">
        <v>12</v>
      </c>
      <c r="J1350" t="s">
        <v>59</v>
      </c>
      <c r="K1350" t="s">
        <v>60</v>
      </c>
      <c r="L1350">
        <f t="shared" si="21"/>
        <v>0.45324741015000491</v>
      </c>
    </row>
    <row r="1351" spans="1:12" x14ac:dyDescent="0.2">
      <c r="A1351">
        <v>1404</v>
      </c>
      <c r="B1351" t="s">
        <v>474</v>
      </c>
      <c r="C1351" t="s">
        <v>16</v>
      </c>
      <c r="D1351" s="1">
        <v>42004</v>
      </c>
      <c r="E1351" s="2">
        <v>11129533000</v>
      </c>
      <c r="F1351" s="2">
        <v>5965049000</v>
      </c>
      <c r="G1351" s="2">
        <v>3860448000</v>
      </c>
      <c r="H1351" t="s">
        <v>12</v>
      </c>
      <c r="I1351" t="s">
        <v>12</v>
      </c>
      <c r="J1351" t="s">
        <v>59</v>
      </c>
      <c r="K1351" t="s">
        <v>60</v>
      </c>
      <c r="L1351">
        <f t="shared" si="21"/>
        <v>0.46403420520879002</v>
      </c>
    </row>
    <row r="1352" spans="1:12" x14ac:dyDescent="0.2">
      <c r="A1352">
        <v>1405</v>
      </c>
      <c r="B1352" t="s">
        <v>474</v>
      </c>
      <c r="C1352" t="s">
        <v>17</v>
      </c>
      <c r="D1352" s="1">
        <v>42369</v>
      </c>
      <c r="E1352" s="2">
        <v>11339304000</v>
      </c>
      <c r="F1352" s="2">
        <v>5780078000</v>
      </c>
      <c r="G1352" s="2">
        <v>3943786000</v>
      </c>
      <c r="H1352" t="s">
        <v>12</v>
      </c>
      <c r="I1352" t="s">
        <v>12</v>
      </c>
      <c r="J1352" t="s">
        <v>59</v>
      </c>
      <c r="K1352" t="s">
        <v>60</v>
      </c>
      <c r="L1352">
        <f t="shared" si="21"/>
        <v>0.49026165979852021</v>
      </c>
    </row>
    <row r="1353" spans="1:12" x14ac:dyDescent="0.2">
      <c r="A1353">
        <v>1406</v>
      </c>
      <c r="B1353" t="s">
        <v>475</v>
      </c>
      <c r="C1353" t="s">
        <v>11</v>
      </c>
      <c r="D1353" s="1">
        <v>41307</v>
      </c>
      <c r="E1353" s="2">
        <v>3983400000</v>
      </c>
      <c r="F1353" s="2">
        <v>2446000000</v>
      </c>
      <c r="G1353" s="2">
        <v>976900000</v>
      </c>
      <c r="H1353" t="s">
        <v>12</v>
      </c>
      <c r="I1353" t="s">
        <v>12</v>
      </c>
      <c r="J1353" t="s">
        <v>19</v>
      </c>
      <c r="K1353" t="s">
        <v>79</v>
      </c>
      <c r="L1353">
        <f t="shared" si="21"/>
        <v>0.38595169955314557</v>
      </c>
    </row>
    <row r="1354" spans="1:12" x14ac:dyDescent="0.2">
      <c r="A1354">
        <v>1407</v>
      </c>
      <c r="B1354" t="s">
        <v>475</v>
      </c>
      <c r="C1354" t="s">
        <v>15</v>
      </c>
      <c r="D1354" s="1">
        <v>41671</v>
      </c>
      <c r="E1354" s="2">
        <v>4209200000</v>
      </c>
      <c r="F1354" s="2">
        <v>2628700000</v>
      </c>
      <c r="G1354" s="2">
        <v>1010000000</v>
      </c>
      <c r="H1354" t="s">
        <v>12</v>
      </c>
      <c r="I1354" t="s">
        <v>12</v>
      </c>
      <c r="J1354" t="s">
        <v>19</v>
      </c>
      <c r="K1354" t="s">
        <v>79</v>
      </c>
      <c r="L1354">
        <f t="shared" si="21"/>
        <v>0.37548702841395043</v>
      </c>
    </row>
    <row r="1355" spans="1:12" x14ac:dyDescent="0.2">
      <c r="A1355">
        <v>1408</v>
      </c>
      <c r="B1355" t="s">
        <v>475</v>
      </c>
      <c r="C1355" t="s">
        <v>16</v>
      </c>
      <c r="D1355" s="1">
        <v>42037</v>
      </c>
      <c r="E1355" s="2">
        <v>5736300000</v>
      </c>
      <c r="F1355" s="2">
        <v>3662100000</v>
      </c>
      <c r="G1355" s="2">
        <v>1497600000</v>
      </c>
      <c r="H1355" t="s">
        <v>12</v>
      </c>
      <c r="I1355" t="s">
        <v>12</v>
      </c>
      <c r="J1355" t="s">
        <v>19</v>
      </c>
      <c r="K1355" t="s">
        <v>79</v>
      </c>
      <c r="L1355">
        <f t="shared" si="21"/>
        <v>0.36159196694733542</v>
      </c>
    </row>
    <row r="1356" spans="1:12" x14ac:dyDescent="0.2">
      <c r="A1356">
        <v>1409</v>
      </c>
      <c r="B1356" t="s">
        <v>475</v>
      </c>
      <c r="C1356" t="s">
        <v>17</v>
      </c>
      <c r="D1356" s="1">
        <v>42399</v>
      </c>
      <c r="E1356" s="2">
        <v>6550200000</v>
      </c>
      <c r="F1356" s="2">
        <v>4109800000</v>
      </c>
      <c r="G1356" s="2">
        <v>1736700000</v>
      </c>
      <c r="H1356" t="s">
        <v>12</v>
      </c>
      <c r="I1356" t="s">
        <v>12</v>
      </c>
      <c r="J1356" t="s">
        <v>19</v>
      </c>
      <c r="K1356" t="s">
        <v>79</v>
      </c>
      <c r="L1356">
        <f t="shared" si="21"/>
        <v>0.37256877652590759</v>
      </c>
    </row>
    <row r="1357" spans="1:12" x14ac:dyDescent="0.2">
      <c r="A1357">
        <v>1410</v>
      </c>
      <c r="B1357" t="s">
        <v>476</v>
      </c>
      <c r="C1357" t="s">
        <v>11</v>
      </c>
      <c r="D1357" s="1">
        <v>41394</v>
      </c>
      <c r="E1357" s="2">
        <v>5897700000</v>
      </c>
      <c r="F1357" s="2">
        <v>3870100000</v>
      </c>
      <c r="G1357" s="2">
        <v>1020400000</v>
      </c>
      <c r="H1357" t="s">
        <v>12</v>
      </c>
      <c r="I1357" s="2">
        <v>96800000</v>
      </c>
      <c r="J1357" t="s">
        <v>36</v>
      </c>
      <c r="K1357" t="s">
        <v>124</v>
      </c>
      <c r="L1357">
        <f t="shared" si="21"/>
        <v>0.34379503874391715</v>
      </c>
    </row>
    <row r="1358" spans="1:12" x14ac:dyDescent="0.2">
      <c r="A1358">
        <v>1411</v>
      </c>
      <c r="B1358" t="s">
        <v>476</v>
      </c>
      <c r="C1358" t="s">
        <v>15</v>
      </c>
      <c r="D1358" s="1">
        <v>41759</v>
      </c>
      <c r="E1358" s="2">
        <v>5610600000</v>
      </c>
      <c r="F1358" s="2">
        <v>3579600000</v>
      </c>
      <c r="G1358" s="2">
        <v>1013100000</v>
      </c>
      <c r="H1358" t="s">
        <v>12</v>
      </c>
      <c r="I1358" s="2">
        <v>98900000</v>
      </c>
      <c r="J1358" t="s">
        <v>36</v>
      </c>
      <c r="K1358" t="s">
        <v>124</v>
      </c>
      <c r="L1358">
        <f t="shared" si="21"/>
        <v>0.36199336969308094</v>
      </c>
    </row>
    <row r="1359" spans="1:12" x14ac:dyDescent="0.2">
      <c r="A1359">
        <v>1412</v>
      </c>
      <c r="B1359" t="s">
        <v>476</v>
      </c>
      <c r="C1359" t="s">
        <v>16</v>
      </c>
      <c r="D1359" s="1">
        <v>42124</v>
      </c>
      <c r="E1359" s="2">
        <v>5692700000</v>
      </c>
      <c r="F1359" s="2">
        <v>3724000000</v>
      </c>
      <c r="G1359" s="2">
        <v>1085800000</v>
      </c>
      <c r="H1359" t="s">
        <v>12</v>
      </c>
      <c r="I1359" s="2">
        <v>110900000</v>
      </c>
      <c r="J1359" t="s">
        <v>36</v>
      </c>
      <c r="K1359" t="s">
        <v>124</v>
      </c>
      <c r="L1359">
        <f t="shared" si="21"/>
        <v>0.34582886855095119</v>
      </c>
    </row>
    <row r="1360" spans="1:12" x14ac:dyDescent="0.2">
      <c r="A1360">
        <v>1413</v>
      </c>
      <c r="B1360" t="s">
        <v>476</v>
      </c>
      <c r="C1360" t="s">
        <v>17</v>
      </c>
      <c r="D1360" s="1">
        <v>42490</v>
      </c>
      <c r="E1360" s="2">
        <v>7811200000</v>
      </c>
      <c r="F1360" s="2">
        <v>4843400000</v>
      </c>
      <c r="G1360" s="2">
        <v>1614100000</v>
      </c>
      <c r="H1360" t="s">
        <v>12</v>
      </c>
      <c r="I1360" s="2">
        <v>208400000</v>
      </c>
      <c r="J1360" t="s">
        <v>36</v>
      </c>
      <c r="K1360" t="s">
        <v>124</v>
      </c>
      <c r="L1360">
        <f t="shared" si="21"/>
        <v>0.37994162228594841</v>
      </c>
    </row>
    <row r="1361" spans="1:12" x14ac:dyDescent="0.2">
      <c r="A1361">
        <v>1414</v>
      </c>
      <c r="B1361" t="s">
        <v>477</v>
      </c>
      <c r="C1361" t="s">
        <v>11</v>
      </c>
      <c r="D1361" s="1">
        <v>41274</v>
      </c>
      <c r="E1361" s="2">
        <v>1290052000</v>
      </c>
      <c r="F1361" s="2">
        <v>470243000</v>
      </c>
      <c r="G1361" s="2">
        <v>120310000</v>
      </c>
      <c r="H1361" t="s">
        <v>12</v>
      </c>
      <c r="I1361" s="2">
        <v>330418000</v>
      </c>
      <c r="J1361" t="s">
        <v>52</v>
      </c>
      <c r="K1361" t="s">
        <v>478</v>
      </c>
      <c r="L1361">
        <f t="shared" si="21"/>
        <v>0.63548523625404241</v>
      </c>
    </row>
    <row r="1362" spans="1:12" x14ac:dyDescent="0.2">
      <c r="A1362">
        <v>1415</v>
      </c>
      <c r="B1362" t="s">
        <v>477</v>
      </c>
      <c r="C1362" t="s">
        <v>15</v>
      </c>
      <c r="D1362" s="1">
        <v>41639</v>
      </c>
      <c r="E1362" s="2">
        <v>1371065000</v>
      </c>
      <c r="F1362" s="2">
        <v>479665000</v>
      </c>
      <c r="G1362" s="2">
        <v>122128000</v>
      </c>
      <c r="H1362" t="s">
        <v>12</v>
      </c>
      <c r="I1362" s="2">
        <v>340316000</v>
      </c>
      <c r="J1362" t="s">
        <v>52</v>
      </c>
      <c r="K1362" t="s">
        <v>478</v>
      </c>
      <c r="L1362">
        <f t="shared" si="21"/>
        <v>0.6501515245447882</v>
      </c>
    </row>
    <row r="1363" spans="1:12" x14ac:dyDescent="0.2">
      <c r="A1363">
        <v>1416</v>
      </c>
      <c r="B1363" t="s">
        <v>477</v>
      </c>
      <c r="C1363" t="s">
        <v>16</v>
      </c>
      <c r="D1363" s="1">
        <v>42004</v>
      </c>
      <c r="E1363" s="2">
        <v>1519978000</v>
      </c>
      <c r="F1363" s="2">
        <v>500126000</v>
      </c>
      <c r="G1363" s="2">
        <v>133502000</v>
      </c>
      <c r="H1363" t="s">
        <v>12</v>
      </c>
      <c r="I1363" s="2">
        <v>393987000</v>
      </c>
      <c r="J1363" t="s">
        <v>52</v>
      </c>
      <c r="K1363" t="s">
        <v>478</v>
      </c>
      <c r="L1363">
        <f t="shared" si="21"/>
        <v>0.67096497449305192</v>
      </c>
    </row>
    <row r="1364" spans="1:12" x14ac:dyDescent="0.2">
      <c r="A1364">
        <v>1417</v>
      </c>
      <c r="B1364" t="s">
        <v>477</v>
      </c>
      <c r="C1364" t="s">
        <v>17</v>
      </c>
      <c r="D1364" s="1">
        <v>42369</v>
      </c>
      <c r="E1364" s="2">
        <v>1662829000</v>
      </c>
      <c r="F1364" s="2">
        <v>534326000</v>
      </c>
      <c r="G1364" s="2">
        <v>139137000</v>
      </c>
      <c r="H1364" t="s">
        <v>12</v>
      </c>
      <c r="I1364" s="2">
        <v>588235000</v>
      </c>
      <c r="J1364" t="s">
        <v>52</v>
      </c>
      <c r="K1364" t="s">
        <v>478</v>
      </c>
      <c r="L1364">
        <f t="shared" si="21"/>
        <v>0.6786644928612624</v>
      </c>
    </row>
    <row r="1365" spans="1:12" x14ac:dyDescent="0.2">
      <c r="A1365">
        <v>1418</v>
      </c>
      <c r="B1365" t="s">
        <v>479</v>
      </c>
      <c r="C1365" t="s">
        <v>11</v>
      </c>
      <c r="D1365" s="1">
        <v>41639</v>
      </c>
      <c r="E1365" s="2">
        <v>3237500000</v>
      </c>
      <c r="F1365" s="2">
        <v>1638900000</v>
      </c>
      <c r="G1365" s="2">
        <v>1012400000</v>
      </c>
      <c r="H1365" t="s">
        <v>12</v>
      </c>
      <c r="I1365" t="s">
        <v>12</v>
      </c>
      <c r="J1365" t="s">
        <v>19</v>
      </c>
      <c r="K1365" t="s">
        <v>480</v>
      </c>
      <c r="L1365">
        <f t="shared" si="21"/>
        <v>0.49377606177606181</v>
      </c>
    </row>
    <row r="1366" spans="1:12" x14ac:dyDescent="0.2">
      <c r="A1366">
        <v>1419</v>
      </c>
      <c r="B1366" t="s">
        <v>479</v>
      </c>
      <c r="C1366" t="s">
        <v>15</v>
      </c>
      <c r="D1366" s="1">
        <v>42007</v>
      </c>
      <c r="E1366" s="2">
        <v>3492600000</v>
      </c>
      <c r="F1366" s="2">
        <v>1759200000</v>
      </c>
      <c r="G1366" s="2">
        <v>1048700000</v>
      </c>
      <c r="H1366" t="s">
        <v>12</v>
      </c>
      <c r="I1366" t="s">
        <v>12</v>
      </c>
      <c r="J1366" t="s">
        <v>19</v>
      </c>
      <c r="K1366" t="s">
        <v>480</v>
      </c>
      <c r="L1366">
        <f t="shared" si="21"/>
        <v>0.49630647655042093</v>
      </c>
    </row>
    <row r="1367" spans="1:12" x14ac:dyDescent="0.2">
      <c r="A1367">
        <v>1420</v>
      </c>
      <c r="B1367" t="s">
        <v>479</v>
      </c>
      <c r="C1367" t="s">
        <v>16</v>
      </c>
      <c r="D1367" s="1">
        <v>42371</v>
      </c>
      <c r="E1367" s="2">
        <v>3593100000</v>
      </c>
      <c r="F1367" s="2">
        <v>1774600000</v>
      </c>
      <c r="G1367" s="2">
        <v>1053700000</v>
      </c>
      <c r="H1367" t="s">
        <v>12</v>
      </c>
      <c r="I1367" t="s">
        <v>12</v>
      </c>
      <c r="J1367" t="s">
        <v>19</v>
      </c>
      <c r="K1367" t="s">
        <v>480</v>
      </c>
      <c r="L1367">
        <f t="shared" si="21"/>
        <v>0.50610893100665166</v>
      </c>
    </row>
    <row r="1368" spans="1:12" x14ac:dyDescent="0.2">
      <c r="A1368">
        <v>1421</v>
      </c>
      <c r="B1368" t="s">
        <v>479</v>
      </c>
      <c r="C1368" t="s">
        <v>17</v>
      </c>
      <c r="D1368" s="1">
        <v>42735</v>
      </c>
      <c r="E1368" s="2">
        <v>3711800000</v>
      </c>
      <c r="F1368" s="2">
        <v>1803500000</v>
      </c>
      <c r="G1368" s="2">
        <v>1054100000</v>
      </c>
      <c r="H1368" t="s">
        <v>12</v>
      </c>
      <c r="I1368" t="s">
        <v>12</v>
      </c>
      <c r="J1368" t="s">
        <v>19</v>
      </c>
      <c r="K1368" t="s">
        <v>480</v>
      </c>
      <c r="L1368">
        <f t="shared" si="21"/>
        <v>0.51411713993210839</v>
      </c>
    </row>
    <row r="1369" spans="1:12" x14ac:dyDescent="0.2">
      <c r="A1369">
        <v>1422</v>
      </c>
      <c r="B1369" t="s">
        <v>481</v>
      </c>
      <c r="C1369" t="s">
        <v>11</v>
      </c>
      <c r="D1369" s="1">
        <v>41274</v>
      </c>
      <c r="E1369" s="2">
        <v>2307182000</v>
      </c>
      <c r="F1369" s="2">
        <v>610836000</v>
      </c>
      <c r="G1369" s="2">
        <v>655473000</v>
      </c>
      <c r="H1369" t="s">
        <v>12</v>
      </c>
      <c r="I1369" s="2">
        <v>107591000</v>
      </c>
      <c r="J1369" t="s">
        <v>19</v>
      </c>
      <c r="K1369" t="s">
        <v>204</v>
      </c>
      <c r="L1369">
        <f t="shared" si="21"/>
        <v>0.73524585403318854</v>
      </c>
    </row>
    <row r="1370" spans="1:12" x14ac:dyDescent="0.2">
      <c r="A1370">
        <v>1423</v>
      </c>
      <c r="B1370" t="s">
        <v>481</v>
      </c>
      <c r="C1370" t="s">
        <v>15</v>
      </c>
      <c r="D1370" s="1">
        <v>41639</v>
      </c>
      <c r="E1370" s="2">
        <v>2530809000</v>
      </c>
      <c r="F1370" s="2">
        <v>699294000</v>
      </c>
      <c r="G1370" s="2">
        <v>729055000</v>
      </c>
      <c r="H1370" t="s">
        <v>12</v>
      </c>
      <c r="I1370" s="2">
        <v>117580000</v>
      </c>
      <c r="J1370" t="s">
        <v>19</v>
      </c>
      <c r="K1370" t="s">
        <v>204</v>
      </c>
      <c r="L1370">
        <f t="shared" si="21"/>
        <v>0.72368756393706524</v>
      </c>
    </row>
    <row r="1371" spans="1:12" x14ac:dyDescent="0.2">
      <c r="A1371">
        <v>1424</v>
      </c>
      <c r="B1371" t="s">
        <v>481</v>
      </c>
      <c r="C1371" t="s">
        <v>16</v>
      </c>
      <c r="D1371" s="1">
        <v>42004</v>
      </c>
      <c r="E1371" s="2">
        <v>2665456000</v>
      </c>
      <c r="F1371" s="2">
        <v>778896000</v>
      </c>
      <c r="G1371" s="2">
        <v>764799000</v>
      </c>
      <c r="H1371" t="s">
        <v>12</v>
      </c>
      <c r="I1371" s="2">
        <v>128582000</v>
      </c>
      <c r="J1371" t="s">
        <v>19</v>
      </c>
      <c r="K1371" t="s">
        <v>204</v>
      </c>
      <c r="L1371">
        <f t="shared" si="21"/>
        <v>0.70778133272505717</v>
      </c>
    </row>
    <row r="1372" spans="1:12" x14ac:dyDescent="0.2">
      <c r="A1372">
        <v>1425</v>
      </c>
      <c r="B1372" t="s">
        <v>481</v>
      </c>
      <c r="C1372" t="s">
        <v>17</v>
      </c>
      <c r="D1372" s="1">
        <v>42369</v>
      </c>
      <c r="E1372" s="2">
        <v>3018227000</v>
      </c>
      <c r="F1372" s="2">
        <v>987357000</v>
      </c>
      <c r="G1372" s="2">
        <v>785179000</v>
      </c>
      <c r="H1372" t="s">
        <v>12</v>
      </c>
      <c r="I1372" s="2">
        <v>137596000</v>
      </c>
      <c r="J1372" t="s">
        <v>19</v>
      </c>
      <c r="K1372" t="s">
        <v>204</v>
      </c>
      <c r="L1372">
        <f t="shared" si="21"/>
        <v>0.67286854169683064</v>
      </c>
    </row>
    <row r="1373" spans="1:12" x14ac:dyDescent="0.2">
      <c r="A1373">
        <v>1426</v>
      </c>
      <c r="B1373" t="s">
        <v>482</v>
      </c>
      <c r="C1373" t="s">
        <v>11</v>
      </c>
      <c r="D1373" s="1">
        <v>41274</v>
      </c>
      <c r="E1373" s="2">
        <v>16537000000</v>
      </c>
      <c r="F1373" s="2">
        <v>9373000000</v>
      </c>
      <c r="G1373" s="2">
        <v>914000000</v>
      </c>
      <c r="H1373" t="s">
        <v>12</v>
      </c>
      <c r="I1373" s="2">
        <v>1787000000</v>
      </c>
      <c r="J1373" t="s">
        <v>42</v>
      </c>
      <c r="K1373" t="s">
        <v>45</v>
      </c>
      <c r="L1373">
        <f t="shared" si="21"/>
        <v>0.43321037673096696</v>
      </c>
    </row>
    <row r="1374" spans="1:12" x14ac:dyDescent="0.2">
      <c r="A1374">
        <v>1427</v>
      </c>
      <c r="B1374" t="s">
        <v>482</v>
      </c>
      <c r="C1374" t="s">
        <v>15</v>
      </c>
      <c r="D1374" s="1">
        <v>41639</v>
      </c>
      <c r="E1374" s="2">
        <v>17087000000</v>
      </c>
      <c r="F1374" s="2">
        <v>9817000000</v>
      </c>
      <c r="G1374" s="2">
        <v>934000000</v>
      </c>
      <c r="H1374" t="s">
        <v>12</v>
      </c>
      <c r="I1374" s="2">
        <v>1901000000</v>
      </c>
      <c r="J1374" t="s">
        <v>42</v>
      </c>
      <c r="K1374" t="s">
        <v>45</v>
      </c>
      <c r="L1374">
        <f t="shared" si="21"/>
        <v>0.42546965529349801</v>
      </c>
    </row>
    <row r="1375" spans="1:12" x14ac:dyDescent="0.2">
      <c r="A1375">
        <v>1428</v>
      </c>
      <c r="B1375" t="s">
        <v>482</v>
      </c>
      <c r="C1375" t="s">
        <v>16</v>
      </c>
      <c r="D1375" s="1">
        <v>42004</v>
      </c>
      <c r="E1375" s="2">
        <v>18467000000</v>
      </c>
      <c r="F1375" s="2">
        <v>11031000000</v>
      </c>
      <c r="G1375" s="2">
        <v>981000000</v>
      </c>
      <c r="H1375" t="s">
        <v>12</v>
      </c>
      <c r="I1375" s="2">
        <v>1945000000</v>
      </c>
      <c r="J1375" t="s">
        <v>42</v>
      </c>
      <c r="K1375" t="s">
        <v>45</v>
      </c>
      <c r="L1375">
        <f t="shared" si="21"/>
        <v>0.40266421183733148</v>
      </c>
    </row>
    <row r="1376" spans="1:12" x14ac:dyDescent="0.2">
      <c r="A1376">
        <v>1429</v>
      </c>
      <c r="B1376" t="s">
        <v>482</v>
      </c>
      <c r="C1376" t="s">
        <v>17</v>
      </c>
      <c r="D1376" s="1">
        <v>42369</v>
      </c>
      <c r="E1376" s="2">
        <v>17489000000</v>
      </c>
      <c r="F1376" s="2">
        <v>9811000000</v>
      </c>
      <c r="G1376" s="2">
        <v>997000000</v>
      </c>
      <c r="H1376" t="s">
        <v>12</v>
      </c>
      <c r="I1376" s="2">
        <v>2034000000</v>
      </c>
      <c r="J1376" t="s">
        <v>42</v>
      </c>
      <c r="K1376" t="s">
        <v>45</v>
      </c>
      <c r="L1376">
        <f t="shared" si="21"/>
        <v>0.43901881182457547</v>
      </c>
    </row>
    <row r="1377" spans="1:12" x14ac:dyDescent="0.2">
      <c r="A1377">
        <v>1430</v>
      </c>
      <c r="B1377" t="s">
        <v>483</v>
      </c>
      <c r="C1377" t="s">
        <v>11</v>
      </c>
      <c r="D1377" s="1">
        <v>41274</v>
      </c>
      <c r="E1377" s="2">
        <v>4256157000</v>
      </c>
      <c r="F1377" s="2">
        <v>800380000</v>
      </c>
      <c r="G1377" s="2">
        <v>376687000</v>
      </c>
      <c r="H1377" t="s">
        <v>12</v>
      </c>
      <c r="I1377" s="2">
        <v>1068382000</v>
      </c>
      <c r="J1377" t="s">
        <v>52</v>
      </c>
      <c r="K1377" t="s">
        <v>53</v>
      </c>
      <c r="L1377">
        <f t="shared" si="21"/>
        <v>0.81194772655238046</v>
      </c>
    </row>
    <row r="1378" spans="1:12" x14ac:dyDescent="0.2">
      <c r="A1378">
        <v>1431</v>
      </c>
      <c r="B1378" t="s">
        <v>483</v>
      </c>
      <c r="C1378" t="s">
        <v>15</v>
      </c>
      <c r="D1378" s="1">
        <v>41639</v>
      </c>
      <c r="E1378" s="2">
        <v>4543849000</v>
      </c>
      <c r="F1378" s="2">
        <v>837946000</v>
      </c>
      <c r="G1378" s="2">
        <v>402369000</v>
      </c>
      <c r="H1378" t="s">
        <v>12</v>
      </c>
      <c r="I1378" s="2">
        <v>1107700000</v>
      </c>
      <c r="J1378" t="s">
        <v>52</v>
      </c>
      <c r="K1378" t="s">
        <v>53</v>
      </c>
      <c r="L1378">
        <f t="shared" si="21"/>
        <v>0.81558674154884991</v>
      </c>
    </row>
    <row r="1379" spans="1:12" x14ac:dyDescent="0.2">
      <c r="A1379">
        <v>1432</v>
      </c>
      <c r="B1379" t="s">
        <v>483</v>
      </c>
      <c r="C1379" t="s">
        <v>16</v>
      </c>
      <c r="D1379" s="1">
        <v>42004</v>
      </c>
      <c r="E1379" s="2">
        <v>4870818000</v>
      </c>
      <c r="F1379" s="2">
        <v>882803000</v>
      </c>
      <c r="G1379" s="2">
        <v>446845000</v>
      </c>
      <c r="H1379" t="s">
        <v>12</v>
      </c>
      <c r="I1379" s="2">
        <v>1143827000</v>
      </c>
      <c r="J1379" t="s">
        <v>52</v>
      </c>
      <c r="K1379" t="s">
        <v>53</v>
      </c>
      <c r="L1379">
        <f t="shared" si="21"/>
        <v>0.8187567262829365</v>
      </c>
    </row>
    <row r="1380" spans="1:12" x14ac:dyDescent="0.2">
      <c r="A1380">
        <v>1433</v>
      </c>
      <c r="B1380" t="s">
        <v>483</v>
      </c>
      <c r="C1380" t="s">
        <v>17</v>
      </c>
      <c r="D1380" s="1">
        <v>42369</v>
      </c>
      <c r="E1380" s="2">
        <v>5266103000</v>
      </c>
      <c r="F1380" s="2">
        <v>960192000</v>
      </c>
      <c r="G1380" s="2">
        <v>452835000</v>
      </c>
      <c r="H1380" t="s">
        <v>12</v>
      </c>
      <c r="I1380" s="2">
        <v>1177568000</v>
      </c>
      <c r="J1380" t="s">
        <v>52</v>
      </c>
      <c r="K1380" t="s">
        <v>53</v>
      </c>
      <c r="L1380">
        <f t="shared" si="21"/>
        <v>0.81766554888880827</v>
      </c>
    </row>
    <row r="1381" spans="1:12" x14ac:dyDescent="0.2">
      <c r="A1381">
        <v>1438</v>
      </c>
      <c r="B1381" t="s">
        <v>484</v>
      </c>
      <c r="C1381" t="s">
        <v>11</v>
      </c>
      <c r="D1381" s="1">
        <v>41307</v>
      </c>
      <c r="E1381" s="2">
        <v>24380510000</v>
      </c>
      <c r="F1381" s="2">
        <v>17889249000</v>
      </c>
      <c r="G1381" s="2">
        <v>4884284000</v>
      </c>
      <c r="H1381" t="s">
        <v>12</v>
      </c>
      <c r="I1381" s="2">
        <v>78900000</v>
      </c>
      <c r="J1381" t="s">
        <v>19</v>
      </c>
      <c r="K1381" t="s">
        <v>79</v>
      </c>
      <c r="L1381">
        <f t="shared" si="21"/>
        <v>0.26624795789751732</v>
      </c>
    </row>
    <row r="1382" spans="1:12" x14ac:dyDescent="0.2">
      <c r="A1382">
        <v>1439</v>
      </c>
      <c r="B1382" t="s">
        <v>484</v>
      </c>
      <c r="C1382" t="s">
        <v>15</v>
      </c>
      <c r="D1382" s="1">
        <v>41671</v>
      </c>
      <c r="E1382" s="2">
        <v>23114000000</v>
      </c>
      <c r="F1382" s="2">
        <v>17082000000</v>
      </c>
      <c r="G1382" s="2">
        <v>4735000000</v>
      </c>
      <c r="H1382" t="s">
        <v>12</v>
      </c>
      <c r="I1382" s="2">
        <v>55000000</v>
      </c>
      <c r="J1382" t="s">
        <v>19</v>
      </c>
      <c r="K1382" t="s">
        <v>79</v>
      </c>
      <c r="L1382">
        <f t="shared" si="21"/>
        <v>0.26096737907761525</v>
      </c>
    </row>
    <row r="1383" spans="1:12" x14ac:dyDescent="0.2">
      <c r="A1383">
        <v>1440</v>
      </c>
      <c r="B1383" t="s">
        <v>484</v>
      </c>
      <c r="C1383" t="s">
        <v>16</v>
      </c>
      <c r="D1383" s="1">
        <v>42035</v>
      </c>
      <c r="E1383" s="2">
        <v>22492000000</v>
      </c>
      <c r="F1383" s="2">
        <v>16691000000</v>
      </c>
      <c r="G1383" s="2">
        <v>4816000000</v>
      </c>
      <c r="H1383" t="s">
        <v>12</v>
      </c>
      <c r="I1383" s="2">
        <v>62000000</v>
      </c>
      <c r="J1383" t="s">
        <v>19</v>
      </c>
      <c r="K1383" t="s">
        <v>79</v>
      </c>
      <c r="L1383">
        <f t="shared" si="21"/>
        <v>0.25791392495109378</v>
      </c>
    </row>
    <row r="1384" spans="1:12" x14ac:dyDescent="0.2">
      <c r="A1384">
        <v>1441</v>
      </c>
      <c r="B1384" t="s">
        <v>484</v>
      </c>
      <c r="C1384" t="s">
        <v>17</v>
      </c>
      <c r="D1384" s="1">
        <v>42399</v>
      </c>
      <c r="E1384" s="2">
        <v>21059000000</v>
      </c>
      <c r="F1384" s="2">
        <v>15545000000</v>
      </c>
      <c r="G1384" s="2">
        <v>4600000000</v>
      </c>
      <c r="H1384" t="s">
        <v>12</v>
      </c>
      <c r="I1384" s="2">
        <v>67000000</v>
      </c>
      <c r="J1384" t="s">
        <v>19</v>
      </c>
      <c r="K1384" t="s">
        <v>79</v>
      </c>
      <c r="L1384">
        <f t="shared" si="21"/>
        <v>0.26183579467211171</v>
      </c>
    </row>
    <row r="1385" spans="1:12" x14ac:dyDescent="0.2">
      <c r="A1385">
        <v>1442</v>
      </c>
      <c r="B1385" t="s">
        <v>485</v>
      </c>
      <c r="C1385" t="s">
        <v>11</v>
      </c>
      <c r="D1385" s="1">
        <v>41274</v>
      </c>
      <c r="E1385" s="2">
        <v>1913149000</v>
      </c>
      <c r="F1385" s="2">
        <v>1055844000</v>
      </c>
      <c r="G1385" s="2">
        <v>356817000</v>
      </c>
      <c r="H1385" t="s">
        <v>12</v>
      </c>
      <c r="I1385" s="2">
        <v>31652000</v>
      </c>
      <c r="J1385" t="s">
        <v>13</v>
      </c>
      <c r="K1385" t="s">
        <v>164</v>
      </c>
      <c r="L1385">
        <f t="shared" si="21"/>
        <v>0.44811198709562083</v>
      </c>
    </row>
    <row r="1386" spans="1:12" x14ac:dyDescent="0.2">
      <c r="A1386">
        <v>1443</v>
      </c>
      <c r="B1386" t="s">
        <v>485</v>
      </c>
      <c r="C1386" t="s">
        <v>15</v>
      </c>
      <c r="D1386" s="1">
        <v>41639</v>
      </c>
      <c r="E1386" s="2">
        <v>2142807000</v>
      </c>
      <c r="F1386" s="2">
        <v>1178173000</v>
      </c>
      <c r="G1386" s="2">
        <v>390610000</v>
      </c>
      <c r="H1386" t="s">
        <v>12</v>
      </c>
      <c r="I1386" s="2">
        <v>38405000</v>
      </c>
      <c r="J1386" t="s">
        <v>13</v>
      </c>
      <c r="K1386" t="s">
        <v>164</v>
      </c>
      <c r="L1386">
        <f t="shared" si="21"/>
        <v>0.45017306738311014</v>
      </c>
    </row>
    <row r="1387" spans="1:12" x14ac:dyDescent="0.2">
      <c r="A1387">
        <v>1444</v>
      </c>
      <c r="B1387" t="s">
        <v>485</v>
      </c>
      <c r="C1387" t="s">
        <v>16</v>
      </c>
      <c r="D1387" s="1">
        <v>42004</v>
      </c>
      <c r="E1387" s="2">
        <v>2555601000</v>
      </c>
      <c r="F1387" s="2">
        <v>1461190000</v>
      </c>
      <c r="G1387" s="2">
        <v>489937000</v>
      </c>
      <c r="H1387" t="s">
        <v>12</v>
      </c>
      <c r="I1387" s="2">
        <v>48138000</v>
      </c>
      <c r="J1387" t="s">
        <v>13</v>
      </c>
      <c r="K1387" t="s">
        <v>164</v>
      </c>
      <c r="L1387">
        <f t="shared" si="21"/>
        <v>0.42824016738137138</v>
      </c>
    </row>
    <row r="1388" spans="1:12" x14ac:dyDescent="0.2">
      <c r="A1388">
        <v>1445</v>
      </c>
      <c r="B1388" t="s">
        <v>485</v>
      </c>
      <c r="C1388" t="s">
        <v>17</v>
      </c>
      <c r="D1388" s="1">
        <v>42369</v>
      </c>
      <c r="E1388" s="2">
        <v>2985908000</v>
      </c>
      <c r="F1388" s="2">
        <v>1719723000</v>
      </c>
      <c r="G1388" s="2">
        <v>712803000</v>
      </c>
      <c r="H1388" t="s">
        <v>12</v>
      </c>
      <c r="I1388" s="2">
        <v>65770000</v>
      </c>
      <c r="J1388" t="s">
        <v>13</v>
      </c>
      <c r="K1388" t="s">
        <v>164</v>
      </c>
      <c r="L1388">
        <f t="shared" si="21"/>
        <v>0.42405358771938051</v>
      </c>
    </row>
    <row r="1389" spans="1:12" x14ac:dyDescent="0.2">
      <c r="A1389">
        <v>1446</v>
      </c>
      <c r="B1389" t="s">
        <v>486</v>
      </c>
      <c r="C1389" t="s">
        <v>11</v>
      </c>
      <c r="D1389" s="1">
        <v>41274</v>
      </c>
      <c r="E1389" s="2">
        <v>9647000000</v>
      </c>
      <c r="F1389" s="2">
        <v>6646000000</v>
      </c>
      <c r="G1389" s="2">
        <v>359000000</v>
      </c>
      <c r="H1389" t="s">
        <v>12</v>
      </c>
      <c r="I1389" s="2">
        <v>1090000000</v>
      </c>
      <c r="J1389" t="s">
        <v>42</v>
      </c>
      <c r="K1389" t="s">
        <v>43</v>
      </c>
      <c r="L1389">
        <f t="shared" si="21"/>
        <v>0.3110811651290557</v>
      </c>
    </row>
    <row r="1390" spans="1:12" x14ac:dyDescent="0.2">
      <c r="A1390">
        <v>1447</v>
      </c>
      <c r="B1390" t="s">
        <v>486</v>
      </c>
      <c r="C1390" t="s">
        <v>15</v>
      </c>
      <c r="D1390" s="1">
        <v>41639</v>
      </c>
      <c r="E1390" s="2">
        <v>10557000000</v>
      </c>
      <c r="F1390" s="2">
        <v>7186000000</v>
      </c>
      <c r="G1390" s="2">
        <v>574000000</v>
      </c>
      <c r="H1390" t="s">
        <v>12</v>
      </c>
      <c r="I1390" s="2">
        <v>1113000000</v>
      </c>
      <c r="J1390" t="s">
        <v>42</v>
      </c>
      <c r="K1390" t="s">
        <v>43</v>
      </c>
      <c r="L1390">
        <f t="shared" si="21"/>
        <v>0.31931419910959558</v>
      </c>
    </row>
    <row r="1391" spans="1:12" x14ac:dyDescent="0.2">
      <c r="A1391">
        <v>1448</v>
      </c>
      <c r="B1391" t="s">
        <v>486</v>
      </c>
      <c r="C1391" t="s">
        <v>16</v>
      </c>
      <c r="D1391" s="1">
        <v>42004</v>
      </c>
      <c r="E1391" s="2">
        <v>11035000000</v>
      </c>
      <c r="F1391" s="2">
        <v>7689000000</v>
      </c>
      <c r="G1391" s="2">
        <v>414000000</v>
      </c>
      <c r="H1391" t="s">
        <v>12</v>
      </c>
      <c r="I1391" s="2">
        <v>1156000000</v>
      </c>
      <c r="J1391" t="s">
        <v>42</v>
      </c>
      <c r="K1391" t="s">
        <v>43</v>
      </c>
      <c r="L1391">
        <f t="shared" si="21"/>
        <v>0.30321703670140465</v>
      </c>
    </row>
    <row r="1392" spans="1:12" x14ac:dyDescent="0.2">
      <c r="A1392">
        <v>1449</v>
      </c>
      <c r="B1392" t="s">
        <v>486</v>
      </c>
      <c r="C1392" t="s">
        <v>17</v>
      </c>
      <c r="D1392" s="1">
        <v>42369</v>
      </c>
      <c r="E1392" s="2">
        <v>10231000000</v>
      </c>
      <c r="F1392" s="2">
        <v>6648000000</v>
      </c>
      <c r="G1392" s="2">
        <v>397000000</v>
      </c>
      <c r="H1392" t="s">
        <v>12</v>
      </c>
      <c r="I1392" s="2">
        <v>1250000000</v>
      </c>
      <c r="J1392" t="s">
        <v>42</v>
      </c>
      <c r="K1392" t="s">
        <v>43</v>
      </c>
      <c r="L1392">
        <f t="shared" si="21"/>
        <v>0.35021014563581276</v>
      </c>
    </row>
    <row r="1393" spans="1:12" x14ac:dyDescent="0.2">
      <c r="A1393">
        <v>1450</v>
      </c>
      <c r="B1393" t="s">
        <v>487</v>
      </c>
      <c r="C1393" t="s">
        <v>11</v>
      </c>
      <c r="D1393" s="1">
        <v>41274</v>
      </c>
      <c r="E1393" s="2">
        <v>11240000000</v>
      </c>
      <c r="F1393" s="2">
        <v>429000000</v>
      </c>
      <c r="G1393" s="2">
        <v>6073000000</v>
      </c>
      <c r="H1393" t="s">
        <v>12</v>
      </c>
      <c r="I1393" s="2">
        <v>1441000000</v>
      </c>
      <c r="J1393" t="s">
        <v>47</v>
      </c>
      <c r="K1393" t="s">
        <v>105</v>
      </c>
      <c r="L1393">
        <f t="shared" si="21"/>
        <v>0.96183274021352316</v>
      </c>
    </row>
    <row r="1394" spans="1:12" x14ac:dyDescent="0.2">
      <c r="A1394">
        <v>1451</v>
      </c>
      <c r="B1394" t="s">
        <v>487</v>
      </c>
      <c r="C1394" t="s">
        <v>15</v>
      </c>
      <c r="D1394" s="1">
        <v>41639</v>
      </c>
      <c r="E1394" s="2">
        <v>8602000000</v>
      </c>
      <c r="F1394" s="2">
        <v>291000000</v>
      </c>
      <c r="G1394" s="2">
        <v>5808000000</v>
      </c>
      <c r="H1394" t="s">
        <v>12</v>
      </c>
      <c r="I1394" s="2">
        <v>576000000</v>
      </c>
      <c r="J1394" t="s">
        <v>47</v>
      </c>
      <c r="K1394" t="s">
        <v>105</v>
      </c>
      <c r="L1394">
        <f t="shared" si="21"/>
        <v>0.9661706579865148</v>
      </c>
    </row>
    <row r="1395" spans="1:12" x14ac:dyDescent="0.2">
      <c r="A1395">
        <v>1452</v>
      </c>
      <c r="B1395" t="s">
        <v>487</v>
      </c>
      <c r="C1395" t="s">
        <v>16</v>
      </c>
      <c r="D1395" s="1">
        <v>42004</v>
      </c>
      <c r="E1395" s="2">
        <v>8707000000</v>
      </c>
      <c r="F1395" s="2">
        <v>235000000</v>
      </c>
      <c r="G1395" s="2">
        <v>5518000000</v>
      </c>
      <c r="H1395" t="s">
        <v>12</v>
      </c>
      <c r="I1395" s="2">
        <v>367000000</v>
      </c>
      <c r="J1395" t="s">
        <v>47</v>
      </c>
      <c r="K1395" t="s">
        <v>105</v>
      </c>
      <c r="L1395">
        <f t="shared" si="21"/>
        <v>0.9730102216607327</v>
      </c>
    </row>
    <row r="1396" spans="1:12" x14ac:dyDescent="0.2">
      <c r="A1396">
        <v>1453</v>
      </c>
      <c r="B1396" t="s">
        <v>487</v>
      </c>
      <c r="C1396" t="s">
        <v>17</v>
      </c>
      <c r="D1396" s="1">
        <v>42369</v>
      </c>
      <c r="E1396" s="2">
        <v>8533000000</v>
      </c>
      <c r="F1396" s="2">
        <v>219000000</v>
      </c>
      <c r="G1396" s="2">
        <v>5120000000</v>
      </c>
      <c r="H1396" t="s">
        <v>12</v>
      </c>
      <c r="I1396" s="2">
        <v>205000000</v>
      </c>
      <c r="J1396" t="s">
        <v>47</v>
      </c>
      <c r="K1396" t="s">
        <v>105</v>
      </c>
      <c r="L1396">
        <f t="shared" si="21"/>
        <v>0.97433493495839685</v>
      </c>
    </row>
    <row r="1397" spans="1:12" x14ac:dyDescent="0.2">
      <c r="A1397">
        <v>1458</v>
      </c>
      <c r="B1397" t="s">
        <v>488</v>
      </c>
      <c r="C1397" t="s">
        <v>11</v>
      </c>
      <c r="D1397" s="1">
        <v>41453</v>
      </c>
      <c r="E1397" s="2">
        <v>14351000000</v>
      </c>
      <c r="F1397" s="2">
        <v>10411000000</v>
      </c>
      <c r="G1397" s="2">
        <v>635000000</v>
      </c>
      <c r="H1397" s="2">
        <v>1133000000</v>
      </c>
      <c r="I1397" s="2">
        <v>79000000</v>
      </c>
      <c r="J1397" t="s">
        <v>22</v>
      </c>
      <c r="K1397" t="s">
        <v>489</v>
      </c>
      <c r="L1397">
        <f t="shared" si="21"/>
        <v>0.2745453278517177</v>
      </c>
    </row>
    <row r="1398" spans="1:12" x14ac:dyDescent="0.2">
      <c r="A1398">
        <v>1459</v>
      </c>
      <c r="B1398" t="s">
        <v>488</v>
      </c>
      <c r="C1398" t="s">
        <v>15</v>
      </c>
      <c r="D1398" s="1">
        <v>41817</v>
      </c>
      <c r="E1398" s="2">
        <v>13724000000</v>
      </c>
      <c r="F1398" s="2">
        <v>9878000000</v>
      </c>
      <c r="G1398" s="2">
        <v>722000000</v>
      </c>
      <c r="H1398" s="2">
        <v>1226000000</v>
      </c>
      <c r="I1398" s="2">
        <v>98000000</v>
      </c>
      <c r="J1398" t="s">
        <v>22</v>
      </c>
      <c r="K1398" t="s">
        <v>489</v>
      </c>
      <c r="L1398">
        <f t="shared" si="21"/>
        <v>0.28023899737685809</v>
      </c>
    </row>
    <row r="1399" spans="1:12" x14ac:dyDescent="0.2">
      <c r="A1399">
        <v>1460</v>
      </c>
      <c r="B1399" t="s">
        <v>488</v>
      </c>
      <c r="C1399" t="s">
        <v>16</v>
      </c>
      <c r="D1399" s="1">
        <v>42188</v>
      </c>
      <c r="E1399" s="2">
        <v>13739000000</v>
      </c>
      <c r="F1399" s="2">
        <v>9930000000</v>
      </c>
      <c r="G1399" s="2">
        <v>237000000</v>
      </c>
      <c r="H1399" s="2">
        <v>1353000000</v>
      </c>
      <c r="I1399" s="2">
        <v>129000000</v>
      </c>
      <c r="J1399" t="s">
        <v>22</v>
      </c>
      <c r="K1399" t="s">
        <v>489</v>
      </c>
      <c r="L1399">
        <f t="shared" si="21"/>
        <v>0.27723997379721954</v>
      </c>
    </row>
    <row r="1400" spans="1:12" x14ac:dyDescent="0.2">
      <c r="A1400">
        <v>1461</v>
      </c>
      <c r="B1400" t="s">
        <v>488</v>
      </c>
      <c r="C1400" t="s">
        <v>17</v>
      </c>
      <c r="D1400" s="1">
        <v>42552</v>
      </c>
      <c r="E1400" s="2">
        <v>11160000000</v>
      </c>
      <c r="F1400" s="2">
        <v>8545000000</v>
      </c>
      <c r="G1400" s="2">
        <v>635000000</v>
      </c>
      <c r="H1400" s="2">
        <v>1237000000</v>
      </c>
      <c r="I1400" s="2">
        <v>123000000</v>
      </c>
      <c r="J1400" t="s">
        <v>22</v>
      </c>
      <c r="K1400" t="s">
        <v>489</v>
      </c>
      <c r="L1400">
        <f t="shared" si="21"/>
        <v>0.23431899641577059</v>
      </c>
    </row>
    <row r="1401" spans="1:12" x14ac:dyDescent="0.2">
      <c r="A1401">
        <v>1462</v>
      </c>
      <c r="B1401" t="s">
        <v>490</v>
      </c>
      <c r="C1401" t="s">
        <v>11</v>
      </c>
      <c r="D1401" s="1">
        <v>41333</v>
      </c>
      <c r="E1401" s="2">
        <v>2796100000</v>
      </c>
      <c r="F1401" s="2">
        <v>1687800000</v>
      </c>
      <c r="G1401" s="2">
        <v>585400000</v>
      </c>
      <c r="H1401" t="s">
        <v>12</v>
      </c>
      <c r="I1401" t="s">
        <v>12</v>
      </c>
      <c r="J1401" t="s">
        <v>36</v>
      </c>
      <c r="K1401" t="s">
        <v>491</v>
      </c>
      <c r="L1401">
        <f t="shared" si="21"/>
        <v>0.39637352026036266</v>
      </c>
    </row>
    <row r="1402" spans="1:12" x14ac:dyDescent="0.2">
      <c r="A1402">
        <v>1463</v>
      </c>
      <c r="B1402" t="s">
        <v>490</v>
      </c>
      <c r="C1402" t="s">
        <v>15</v>
      </c>
      <c r="D1402" s="1">
        <v>41698</v>
      </c>
      <c r="E1402" s="2">
        <v>4867700000</v>
      </c>
      <c r="F1402" s="2">
        <v>2876000000</v>
      </c>
      <c r="G1402" s="2">
        <v>895100000</v>
      </c>
      <c r="H1402" t="s">
        <v>12</v>
      </c>
      <c r="I1402" t="s">
        <v>12</v>
      </c>
      <c r="J1402" t="s">
        <v>36</v>
      </c>
      <c r="K1402" t="s">
        <v>491</v>
      </c>
      <c r="L1402">
        <f t="shared" si="21"/>
        <v>0.40916654682909792</v>
      </c>
    </row>
    <row r="1403" spans="1:12" x14ac:dyDescent="0.2">
      <c r="A1403">
        <v>1464</v>
      </c>
      <c r="B1403" t="s">
        <v>490</v>
      </c>
      <c r="C1403" t="s">
        <v>16</v>
      </c>
      <c r="D1403" s="1">
        <v>42063</v>
      </c>
      <c r="E1403" s="2">
        <v>6028000000</v>
      </c>
      <c r="F1403" s="2">
        <v>3449400000</v>
      </c>
      <c r="G1403" s="2">
        <v>1078400000</v>
      </c>
      <c r="H1403" t="s">
        <v>12</v>
      </c>
      <c r="I1403" t="s">
        <v>12</v>
      </c>
      <c r="J1403" t="s">
        <v>36</v>
      </c>
      <c r="K1403" t="s">
        <v>491</v>
      </c>
      <c r="L1403">
        <f t="shared" si="21"/>
        <v>0.42777040477770401</v>
      </c>
    </row>
    <row r="1404" spans="1:12" x14ac:dyDescent="0.2">
      <c r="A1404">
        <v>1465</v>
      </c>
      <c r="B1404" t="s">
        <v>490</v>
      </c>
      <c r="C1404" t="s">
        <v>17</v>
      </c>
      <c r="D1404" s="1">
        <v>42429</v>
      </c>
      <c r="E1404" s="2">
        <v>6548400000</v>
      </c>
      <c r="F1404" s="2">
        <v>3606100000</v>
      </c>
      <c r="G1404" s="2">
        <v>1177200000</v>
      </c>
      <c r="H1404" t="s">
        <v>12</v>
      </c>
      <c r="I1404" t="s">
        <v>12</v>
      </c>
      <c r="J1404" t="s">
        <v>36</v>
      </c>
      <c r="K1404" t="s">
        <v>491</v>
      </c>
      <c r="L1404">
        <f t="shared" si="21"/>
        <v>0.4493158634170179</v>
      </c>
    </row>
    <row r="1405" spans="1:12" x14ac:dyDescent="0.2">
      <c r="A1405">
        <v>1466</v>
      </c>
      <c r="B1405" t="s">
        <v>492</v>
      </c>
      <c r="C1405" t="s">
        <v>11</v>
      </c>
      <c r="D1405" s="1">
        <v>41636</v>
      </c>
      <c r="E1405" s="2">
        <v>10889500000</v>
      </c>
      <c r="F1405" s="2">
        <v>6985800000</v>
      </c>
      <c r="G1405" s="2">
        <v>2960300000</v>
      </c>
      <c r="H1405" t="s">
        <v>12</v>
      </c>
      <c r="I1405" t="s">
        <v>12</v>
      </c>
      <c r="J1405" t="s">
        <v>19</v>
      </c>
      <c r="K1405" t="s">
        <v>480</v>
      </c>
      <c r="L1405">
        <f t="shared" si="21"/>
        <v>0.35848294228385147</v>
      </c>
    </row>
    <row r="1406" spans="1:12" x14ac:dyDescent="0.2">
      <c r="A1406">
        <v>1467</v>
      </c>
      <c r="B1406" t="s">
        <v>492</v>
      </c>
      <c r="C1406" t="s">
        <v>15</v>
      </c>
      <c r="D1406" s="1">
        <v>42007</v>
      </c>
      <c r="E1406" s="2">
        <v>11338600000</v>
      </c>
      <c r="F1406" s="2">
        <v>7235900000</v>
      </c>
      <c r="G1406" s="2">
        <v>2814600000</v>
      </c>
      <c r="H1406" t="s">
        <v>12</v>
      </c>
      <c r="I1406" t="s">
        <v>12</v>
      </c>
      <c r="J1406" t="s">
        <v>19</v>
      </c>
      <c r="K1406" t="s">
        <v>480</v>
      </c>
      <c r="L1406">
        <f t="shared" si="21"/>
        <v>0.36183479441906408</v>
      </c>
    </row>
    <row r="1407" spans="1:12" x14ac:dyDescent="0.2">
      <c r="A1407">
        <v>1468</v>
      </c>
      <c r="B1407" t="s">
        <v>492</v>
      </c>
      <c r="C1407" t="s">
        <v>16</v>
      </c>
      <c r="D1407" s="1">
        <v>42371</v>
      </c>
      <c r="E1407" s="2">
        <v>11171800000</v>
      </c>
      <c r="F1407" s="2">
        <v>7099800000</v>
      </c>
      <c r="G1407" s="2">
        <v>2681100000</v>
      </c>
      <c r="H1407" t="s">
        <v>12</v>
      </c>
      <c r="I1407" t="s">
        <v>12</v>
      </c>
      <c r="J1407" t="s">
        <v>19</v>
      </c>
      <c r="K1407" t="s">
        <v>480</v>
      </c>
      <c r="L1407">
        <f t="shared" si="21"/>
        <v>0.36448916020694966</v>
      </c>
    </row>
    <row r="1408" spans="1:12" x14ac:dyDescent="0.2">
      <c r="A1408">
        <v>1469</v>
      </c>
      <c r="B1408" t="s">
        <v>492</v>
      </c>
      <c r="C1408" t="s">
        <v>17</v>
      </c>
      <c r="D1408" s="1">
        <v>42735</v>
      </c>
      <c r="E1408" s="2">
        <v>11406900000</v>
      </c>
      <c r="F1408" s="2">
        <v>7139700000</v>
      </c>
      <c r="G1408" s="2">
        <v>2798900000</v>
      </c>
      <c r="H1408" t="s">
        <v>12</v>
      </c>
      <c r="I1408" t="s">
        <v>12</v>
      </c>
      <c r="J1408" t="s">
        <v>19</v>
      </c>
      <c r="K1408" t="s">
        <v>480</v>
      </c>
      <c r="L1408">
        <f t="shared" si="21"/>
        <v>0.37408936696210193</v>
      </c>
    </row>
    <row r="1409" spans="1:12" x14ac:dyDescent="0.2">
      <c r="A1409">
        <v>1470</v>
      </c>
      <c r="B1409" t="s">
        <v>493</v>
      </c>
      <c r="C1409" t="s">
        <v>11</v>
      </c>
      <c r="D1409" s="1">
        <v>41544</v>
      </c>
      <c r="E1409" s="2">
        <v>1792000000</v>
      </c>
      <c r="F1409" s="2">
        <v>1025400000</v>
      </c>
      <c r="G1409" s="2">
        <v>159700000</v>
      </c>
      <c r="H1409" s="2">
        <v>226300000</v>
      </c>
      <c r="I1409" s="2">
        <v>29100000</v>
      </c>
      <c r="J1409" t="s">
        <v>22</v>
      </c>
      <c r="K1409" t="s">
        <v>34</v>
      </c>
      <c r="L1409">
        <f t="shared" si="21"/>
        <v>0.42779017857142854</v>
      </c>
    </row>
    <row r="1410" spans="1:12" x14ac:dyDescent="0.2">
      <c r="A1410">
        <v>1471</v>
      </c>
      <c r="B1410" t="s">
        <v>493</v>
      </c>
      <c r="C1410" t="s">
        <v>15</v>
      </c>
      <c r="D1410" s="1">
        <v>41915</v>
      </c>
      <c r="E1410" s="2">
        <v>2291500000</v>
      </c>
      <c r="F1410" s="2">
        <v>1268800000</v>
      </c>
      <c r="G1410" s="2">
        <v>179100000</v>
      </c>
      <c r="H1410" s="2">
        <v>252200000</v>
      </c>
      <c r="I1410" s="2">
        <v>25900000</v>
      </c>
      <c r="J1410" t="s">
        <v>22</v>
      </c>
      <c r="K1410" t="s">
        <v>34</v>
      </c>
      <c r="L1410">
        <f t="shared" si="21"/>
        <v>0.44630154920357845</v>
      </c>
    </row>
    <row r="1411" spans="1:12" x14ac:dyDescent="0.2">
      <c r="A1411">
        <v>1472</v>
      </c>
      <c r="B1411" t="s">
        <v>493</v>
      </c>
      <c r="C1411" t="s">
        <v>16</v>
      </c>
      <c r="D1411" s="1">
        <v>42279</v>
      </c>
      <c r="E1411" s="2">
        <v>3258400000</v>
      </c>
      <c r="F1411" s="2">
        <v>1703900000</v>
      </c>
      <c r="G1411" s="2">
        <v>191300000</v>
      </c>
      <c r="H1411" s="2">
        <v>303200000</v>
      </c>
      <c r="I1411" s="2">
        <v>33500000</v>
      </c>
      <c r="J1411" t="s">
        <v>22</v>
      </c>
      <c r="K1411" t="s">
        <v>34</v>
      </c>
      <c r="L1411">
        <f t="shared" ref="L1411:L1474" si="22">1-F1411/E1411</f>
        <v>0.47707463785907189</v>
      </c>
    </row>
    <row r="1412" spans="1:12" x14ac:dyDescent="0.2">
      <c r="A1412">
        <v>1473</v>
      </c>
      <c r="B1412" t="s">
        <v>493</v>
      </c>
      <c r="C1412" t="s">
        <v>17</v>
      </c>
      <c r="D1412" s="1">
        <v>42643</v>
      </c>
      <c r="E1412" s="2">
        <v>3289000000</v>
      </c>
      <c r="F1412" s="2">
        <v>1623800000</v>
      </c>
      <c r="G1412" s="2">
        <v>195900000</v>
      </c>
      <c r="H1412" s="2">
        <v>312400000</v>
      </c>
      <c r="I1412" s="2">
        <v>33400000</v>
      </c>
      <c r="J1412" t="s">
        <v>22</v>
      </c>
      <c r="K1412" t="s">
        <v>34</v>
      </c>
      <c r="L1412">
        <f t="shared" si="22"/>
        <v>0.50629370629370629</v>
      </c>
    </row>
    <row r="1413" spans="1:12" x14ac:dyDescent="0.2">
      <c r="A1413">
        <v>1474</v>
      </c>
      <c r="B1413" t="s">
        <v>494</v>
      </c>
      <c r="C1413" t="s">
        <v>11</v>
      </c>
      <c r="D1413" s="1">
        <v>41274</v>
      </c>
      <c r="E1413" s="2">
        <v>2730000000</v>
      </c>
      <c r="F1413" s="2">
        <v>245000000</v>
      </c>
      <c r="G1413" s="2">
        <v>835000000</v>
      </c>
      <c r="H1413" t="s">
        <v>12</v>
      </c>
      <c r="I1413" s="2">
        <v>811000000</v>
      </c>
      <c r="J1413" t="s">
        <v>83</v>
      </c>
      <c r="K1413" t="s">
        <v>84</v>
      </c>
      <c r="L1413">
        <f t="shared" si="22"/>
        <v>0.91025641025641024</v>
      </c>
    </row>
    <row r="1414" spans="1:12" x14ac:dyDescent="0.2">
      <c r="A1414">
        <v>1475</v>
      </c>
      <c r="B1414" t="s">
        <v>494</v>
      </c>
      <c r="C1414" t="s">
        <v>15</v>
      </c>
      <c r="D1414" s="1">
        <v>41639</v>
      </c>
      <c r="E1414" s="2">
        <v>3371000000</v>
      </c>
      <c r="F1414" s="2">
        <v>328000000</v>
      </c>
      <c r="G1414" s="2">
        <v>1052000000</v>
      </c>
      <c r="H1414" t="s">
        <v>12</v>
      </c>
      <c r="I1414" s="2">
        <v>787000000</v>
      </c>
      <c r="J1414" t="s">
        <v>83</v>
      </c>
      <c r="K1414" t="s">
        <v>84</v>
      </c>
      <c r="L1414">
        <f t="shared" si="22"/>
        <v>0.90269949569860575</v>
      </c>
    </row>
    <row r="1415" spans="1:12" x14ac:dyDescent="0.2">
      <c r="A1415">
        <v>1476</v>
      </c>
      <c r="B1415" t="s">
        <v>494</v>
      </c>
      <c r="C1415" t="s">
        <v>16</v>
      </c>
      <c r="D1415" s="1">
        <v>42004</v>
      </c>
      <c r="E1415" s="2">
        <v>4038000000</v>
      </c>
      <c r="F1415" s="2">
        <v>427000000</v>
      </c>
      <c r="G1415" s="2">
        <v>1296000000</v>
      </c>
      <c r="H1415" t="s">
        <v>12</v>
      </c>
      <c r="I1415" s="2">
        <v>942000000</v>
      </c>
      <c r="J1415" t="s">
        <v>83</v>
      </c>
      <c r="K1415" t="s">
        <v>84</v>
      </c>
      <c r="L1415">
        <f t="shared" si="22"/>
        <v>0.89425458147597825</v>
      </c>
    </row>
    <row r="1416" spans="1:12" x14ac:dyDescent="0.2">
      <c r="A1416">
        <v>1477</v>
      </c>
      <c r="B1416" t="s">
        <v>494</v>
      </c>
      <c r="C1416" t="s">
        <v>17</v>
      </c>
      <c r="D1416" s="1">
        <v>42369</v>
      </c>
      <c r="E1416" s="2">
        <v>3133000000</v>
      </c>
      <c r="F1416" s="2">
        <v>689000000</v>
      </c>
      <c r="G1416" s="2">
        <v>1208000000</v>
      </c>
      <c r="H1416" t="s">
        <v>12</v>
      </c>
      <c r="I1416" s="2">
        <v>1091000000</v>
      </c>
      <c r="J1416" t="s">
        <v>83</v>
      </c>
      <c r="K1416" t="s">
        <v>84</v>
      </c>
      <c r="L1416">
        <f t="shared" si="22"/>
        <v>0.78008298755186722</v>
      </c>
    </row>
    <row r="1417" spans="1:12" x14ac:dyDescent="0.2">
      <c r="A1417">
        <v>1478</v>
      </c>
      <c r="B1417" t="s">
        <v>495</v>
      </c>
      <c r="C1417" t="s">
        <v>11</v>
      </c>
      <c r="D1417" s="1">
        <v>41274</v>
      </c>
      <c r="E1417" s="2">
        <v>10793000000</v>
      </c>
      <c r="F1417" s="2">
        <v>362000000</v>
      </c>
      <c r="G1417" s="2">
        <v>2123000000</v>
      </c>
      <c r="H1417" t="s">
        <v>12</v>
      </c>
      <c r="I1417" s="2">
        <v>4549000000</v>
      </c>
      <c r="J1417" t="s">
        <v>47</v>
      </c>
      <c r="K1417" t="s">
        <v>100</v>
      </c>
      <c r="L1417">
        <f t="shared" si="22"/>
        <v>0.96645974242564625</v>
      </c>
    </row>
    <row r="1418" spans="1:12" x14ac:dyDescent="0.2">
      <c r="A1418">
        <v>1479</v>
      </c>
      <c r="B1418" t="s">
        <v>495</v>
      </c>
      <c r="C1418" t="s">
        <v>15</v>
      </c>
      <c r="D1418" s="1">
        <v>41639</v>
      </c>
      <c r="E1418" s="2">
        <v>11813000000</v>
      </c>
      <c r="F1418" s="2">
        <v>374000000</v>
      </c>
      <c r="G1418" s="2">
        <v>2484000000</v>
      </c>
      <c r="H1418" t="s">
        <v>12</v>
      </c>
      <c r="I1418" s="2">
        <v>5445000000</v>
      </c>
      <c r="J1418" t="s">
        <v>47</v>
      </c>
      <c r="K1418" t="s">
        <v>100</v>
      </c>
      <c r="L1418">
        <f t="shared" si="22"/>
        <v>0.96833996444594939</v>
      </c>
    </row>
    <row r="1419" spans="1:12" x14ac:dyDescent="0.2">
      <c r="A1419">
        <v>1480</v>
      </c>
      <c r="B1419" t="s">
        <v>495</v>
      </c>
      <c r="C1419" t="s">
        <v>16</v>
      </c>
      <c r="D1419" s="1">
        <v>42004</v>
      </c>
      <c r="E1419" s="2">
        <v>12727000000</v>
      </c>
      <c r="F1419" s="2">
        <v>470000000</v>
      </c>
      <c r="G1419" s="2">
        <v>2927000000</v>
      </c>
      <c r="H1419" t="s">
        <v>12</v>
      </c>
      <c r="I1419" s="2">
        <v>5492000000</v>
      </c>
      <c r="J1419" t="s">
        <v>47</v>
      </c>
      <c r="K1419" t="s">
        <v>100</v>
      </c>
      <c r="L1419">
        <f t="shared" si="22"/>
        <v>0.96307063722794062</v>
      </c>
    </row>
    <row r="1420" spans="1:12" x14ac:dyDescent="0.2">
      <c r="A1420">
        <v>1481</v>
      </c>
      <c r="B1420" t="s">
        <v>495</v>
      </c>
      <c r="C1420" t="s">
        <v>17</v>
      </c>
      <c r="D1420" s="1">
        <v>42369</v>
      </c>
      <c r="E1420" s="2">
        <v>13620000000</v>
      </c>
      <c r="F1420" s="2">
        <v>607000000</v>
      </c>
      <c r="G1420" s="2">
        <v>3264000000</v>
      </c>
      <c r="H1420" t="s">
        <v>12</v>
      </c>
      <c r="I1420" s="2">
        <v>5690000000</v>
      </c>
      <c r="J1420" t="s">
        <v>47</v>
      </c>
      <c r="K1420" t="s">
        <v>100</v>
      </c>
      <c r="L1420">
        <f t="shared" si="22"/>
        <v>0.95543318649045517</v>
      </c>
    </row>
    <row r="1421" spans="1:12" x14ac:dyDescent="0.2">
      <c r="A1421">
        <v>1482</v>
      </c>
      <c r="B1421" t="s">
        <v>496</v>
      </c>
      <c r="C1421" t="s">
        <v>11</v>
      </c>
      <c r="D1421" s="1">
        <v>41639</v>
      </c>
      <c r="E1421" s="2">
        <v>9021000000</v>
      </c>
      <c r="F1421" s="2">
        <v>3002000000</v>
      </c>
      <c r="G1421" s="2">
        <v>4089000000</v>
      </c>
      <c r="H1421" s="2">
        <v>536000000</v>
      </c>
      <c r="I1421" s="2">
        <v>138000000</v>
      </c>
      <c r="J1421" t="s">
        <v>25</v>
      </c>
      <c r="K1421" t="s">
        <v>30</v>
      </c>
      <c r="L1421">
        <f t="shared" si="22"/>
        <v>0.6672209289435761</v>
      </c>
    </row>
    <row r="1422" spans="1:12" x14ac:dyDescent="0.2">
      <c r="A1422">
        <v>1483</v>
      </c>
      <c r="B1422" t="s">
        <v>496</v>
      </c>
      <c r="C1422" t="s">
        <v>15</v>
      </c>
      <c r="D1422" s="1">
        <v>42004</v>
      </c>
      <c r="E1422" s="2">
        <v>9675000000</v>
      </c>
      <c r="F1422" s="2">
        <v>3319000000</v>
      </c>
      <c r="G1422" s="2">
        <v>4308000000</v>
      </c>
      <c r="H1422" s="2">
        <v>614000000</v>
      </c>
      <c r="I1422" s="2">
        <v>188000000</v>
      </c>
      <c r="J1422" t="s">
        <v>25</v>
      </c>
      <c r="K1422" t="s">
        <v>30</v>
      </c>
      <c r="L1422">
        <f t="shared" si="22"/>
        <v>0.65695090439276482</v>
      </c>
    </row>
    <row r="1423" spans="1:12" x14ac:dyDescent="0.2">
      <c r="A1423">
        <v>1484</v>
      </c>
      <c r="B1423" t="s">
        <v>496</v>
      </c>
      <c r="C1423" t="s">
        <v>16</v>
      </c>
      <c r="D1423" s="1">
        <v>42369</v>
      </c>
      <c r="E1423" s="2">
        <v>9946000000</v>
      </c>
      <c r="F1423" s="2">
        <v>3344000000</v>
      </c>
      <c r="G1423" s="2">
        <v>3906000000</v>
      </c>
      <c r="H1423" s="2">
        <v>625000000</v>
      </c>
      <c r="I1423" s="2">
        <v>210000000</v>
      </c>
      <c r="J1423" t="s">
        <v>25</v>
      </c>
      <c r="K1423" t="s">
        <v>30</v>
      </c>
      <c r="L1423">
        <f t="shared" si="22"/>
        <v>0.66378443595415249</v>
      </c>
    </row>
    <row r="1424" spans="1:12" x14ac:dyDescent="0.2">
      <c r="A1424">
        <v>1485</v>
      </c>
      <c r="B1424" t="s">
        <v>496</v>
      </c>
      <c r="C1424" t="s">
        <v>17</v>
      </c>
      <c r="D1424" s="1">
        <v>42735</v>
      </c>
      <c r="E1424" s="2">
        <v>11325000000</v>
      </c>
      <c r="F1424" s="2">
        <v>3830000000</v>
      </c>
      <c r="G1424" s="2">
        <v>4295000000</v>
      </c>
      <c r="H1424" s="2">
        <v>715000000</v>
      </c>
      <c r="I1424" s="2">
        <v>319000000</v>
      </c>
      <c r="J1424" t="s">
        <v>25</v>
      </c>
      <c r="K1424" t="s">
        <v>30</v>
      </c>
      <c r="L1424">
        <f t="shared" si="22"/>
        <v>0.66181015452538627</v>
      </c>
    </row>
    <row r="1425" spans="1:12" x14ac:dyDescent="0.2">
      <c r="A1425">
        <v>1486</v>
      </c>
      <c r="B1425" t="s">
        <v>497</v>
      </c>
      <c r="C1425" t="s">
        <v>11</v>
      </c>
      <c r="D1425" s="1">
        <v>41362</v>
      </c>
      <c r="E1425" s="2">
        <v>6906000000</v>
      </c>
      <c r="F1425" s="2">
        <v>1175000000</v>
      </c>
      <c r="G1425" s="2">
        <v>3236000000</v>
      </c>
      <c r="H1425" s="2">
        <v>1026000000</v>
      </c>
      <c r="I1425" s="2">
        <v>286000000</v>
      </c>
      <c r="J1425" t="s">
        <v>22</v>
      </c>
      <c r="K1425" t="s">
        <v>32</v>
      </c>
      <c r="L1425">
        <f t="shared" si="22"/>
        <v>0.82985809441065739</v>
      </c>
    </row>
    <row r="1426" spans="1:12" x14ac:dyDescent="0.2">
      <c r="A1426">
        <v>1487</v>
      </c>
      <c r="B1426" t="s">
        <v>497</v>
      </c>
      <c r="C1426" t="s">
        <v>15</v>
      </c>
      <c r="D1426" s="1">
        <v>41726</v>
      </c>
      <c r="E1426" s="2">
        <v>4183000000</v>
      </c>
      <c r="F1426" s="2">
        <v>791000000</v>
      </c>
      <c r="G1426" s="2">
        <v>2186000000</v>
      </c>
      <c r="H1426" s="2">
        <v>722000000</v>
      </c>
      <c r="I1426" s="2">
        <v>93000000</v>
      </c>
      <c r="J1426" t="s">
        <v>22</v>
      </c>
      <c r="K1426" t="s">
        <v>32</v>
      </c>
      <c r="L1426">
        <f t="shared" si="22"/>
        <v>0.81090126703322973</v>
      </c>
    </row>
    <row r="1427" spans="1:12" x14ac:dyDescent="0.2">
      <c r="A1427">
        <v>1488</v>
      </c>
      <c r="B1427" t="s">
        <v>497</v>
      </c>
      <c r="C1427" t="s">
        <v>16</v>
      </c>
      <c r="D1427" s="1">
        <v>42097</v>
      </c>
      <c r="E1427" s="2">
        <v>3956000000</v>
      </c>
      <c r="F1427" s="2">
        <v>727000000</v>
      </c>
      <c r="G1427" s="2">
        <v>2012000000</v>
      </c>
      <c r="H1427" s="2">
        <v>812000000</v>
      </c>
      <c r="I1427" s="2">
        <v>87000000</v>
      </c>
      <c r="J1427" t="s">
        <v>22</v>
      </c>
      <c r="K1427" t="s">
        <v>32</v>
      </c>
      <c r="L1427">
        <f t="shared" si="22"/>
        <v>0.8162285136501517</v>
      </c>
    </row>
    <row r="1428" spans="1:12" x14ac:dyDescent="0.2">
      <c r="A1428">
        <v>1489</v>
      </c>
      <c r="B1428" t="s">
        <v>497</v>
      </c>
      <c r="C1428" t="s">
        <v>17</v>
      </c>
      <c r="D1428" s="1">
        <v>42461</v>
      </c>
      <c r="E1428" s="2">
        <v>3600000000</v>
      </c>
      <c r="F1428" s="2">
        <v>615000000</v>
      </c>
      <c r="G1428" s="2">
        <v>1587000000</v>
      </c>
      <c r="H1428" s="2">
        <v>748000000</v>
      </c>
      <c r="I1428" s="2">
        <v>57000000</v>
      </c>
      <c r="J1428" t="s">
        <v>22</v>
      </c>
      <c r="K1428" t="s">
        <v>32</v>
      </c>
      <c r="L1428">
        <f t="shared" si="22"/>
        <v>0.82916666666666661</v>
      </c>
    </row>
    <row r="1429" spans="1:12" x14ac:dyDescent="0.2">
      <c r="A1429">
        <v>1490</v>
      </c>
      <c r="B1429" t="s">
        <v>498</v>
      </c>
      <c r="C1429" t="s">
        <v>11</v>
      </c>
      <c r="D1429" s="1">
        <v>41454</v>
      </c>
      <c r="E1429" s="2">
        <v>44411233000</v>
      </c>
      <c r="F1429" s="2">
        <v>36414626000</v>
      </c>
      <c r="G1429" s="2">
        <v>6338129000</v>
      </c>
      <c r="H1429" t="s">
        <v>12</v>
      </c>
      <c r="I1429" t="s">
        <v>12</v>
      </c>
      <c r="J1429" t="s">
        <v>36</v>
      </c>
      <c r="K1429" t="s">
        <v>499</v>
      </c>
      <c r="L1429">
        <f t="shared" si="22"/>
        <v>0.18005820734587574</v>
      </c>
    </row>
    <row r="1430" spans="1:12" x14ac:dyDescent="0.2">
      <c r="A1430">
        <v>1491</v>
      </c>
      <c r="B1430" t="s">
        <v>498</v>
      </c>
      <c r="C1430" t="s">
        <v>15</v>
      </c>
      <c r="D1430" s="1">
        <v>41818</v>
      </c>
      <c r="E1430" s="2">
        <v>46516712000</v>
      </c>
      <c r="F1430" s="2">
        <v>38335677000</v>
      </c>
      <c r="G1430" t="s">
        <v>12</v>
      </c>
      <c r="H1430" t="s">
        <v>12</v>
      </c>
      <c r="I1430" t="s">
        <v>12</v>
      </c>
      <c r="J1430" t="s">
        <v>36</v>
      </c>
      <c r="K1430" t="s">
        <v>499</v>
      </c>
      <c r="L1430">
        <f t="shared" si="22"/>
        <v>0.17587302817103667</v>
      </c>
    </row>
    <row r="1431" spans="1:12" x14ac:dyDescent="0.2">
      <c r="A1431">
        <v>1492</v>
      </c>
      <c r="B1431" t="s">
        <v>498</v>
      </c>
      <c r="C1431" t="s">
        <v>16</v>
      </c>
      <c r="D1431" s="1">
        <v>42182</v>
      </c>
      <c r="E1431" s="2">
        <v>48680752000</v>
      </c>
      <c r="F1431" s="2">
        <v>40129236000</v>
      </c>
      <c r="G1431" t="s">
        <v>12</v>
      </c>
      <c r="H1431" t="s">
        <v>12</v>
      </c>
      <c r="I1431" t="s">
        <v>12</v>
      </c>
      <c r="J1431" t="s">
        <v>36</v>
      </c>
      <c r="K1431" t="s">
        <v>499</v>
      </c>
      <c r="L1431">
        <f t="shared" si="22"/>
        <v>0.17566524033975484</v>
      </c>
    </row>
    <row r="1432" spans="1:12" x14ac:dyDescent="0.2">
      <c r="A1432">
        <v>1493</v>
      </c>
      <c r="B1432" t="s">
        <v>498</v>
      </c>
      <c r="C1432" t="s">
        <v>17</v>
      </c>
      <c r="D1432" s="1">
        <v>42553</v>
      </c>
      <c r="E1432" s="2">
        <v>50366919000</v>
      </c>
      <c r="F1432" s="2">
        <v>41326447000</v>
      </c>
      <c r="G1432" t="s">
        <v>12</v>
      </c>
      <c r="H1432" t="s">
        <v>12</v>
      </c>
      <c r="I1432" t="s">
        <v>12</v>
      </c>
      <c r="J1432" t="s">
        <v>36</v>
      </c>
      <c r="K1432" t="s">
        <v>499</v>
      </c>
      <c r="L1432">
        <f t="shared" si="22"/>
        <v>0.17949225760662468</v>
      </c>
    </row>
    <row r="1433" spans="1:12" x14ac:dyDescent="0.2">
      <c r="A1433">
        <v>1494</v>
      </c>
      <c r="B1433" t="s">
        <v>500</v>
      </c>
      <c r="C1433" t="s">
        <v>11</v>
      </c>
      <c r="D1433" s="1">
        <v>41274</v>
      </c>
      <c r="E1433" s="2">
        <v>127434000000</v>
      </c>
      <c r="F1433" s="2">
        <v>55228000000</v>
      </c>
      <c r="G1433" s="2">
        <v>41066000000</v>
      </c>
      <c r="H1433" t="s">
        <v>12</v>
      </c>
      <c r="I1433" s="2">
        <v>18143000000</v>
      </c>
      <c r="J1433" t="s">
        <v>182</v>
      </c>
      <c r="K1433" t="s">
        <v>183</v>
      </c>
      <c r="L1433">
        <f t="shared" si="22"/>
        <v>0.56661487515105857</v>
      </c>
    </row>
    <row r="1434" spans="1:12" x14ac:dyDescent="0.2">
      <c r="A1434">
        <v>1495</v>
      </c>
      <c r="B1434" t="s">
        <v>500</v>
      </c>
      <c r="C1434" t="s">
        <v>15</v>
      </c>
      <c r="D1434" s="1">
        <v>41639</v>
      </c>
      <c r="E1434" s="2">
        <v>128752000000</v>
      </c>
      <c r="F1434" s="2">
        <v>51191000000</v>
      </c>
      <c r="G1434" s="2">
        <v>28414000000</v>
      </c>
      <c r="H1434" t="s">
        <v>12</v>
      </c>
      <c r="I1434" s="2">
        <v>18395000000</v>
      </c>
      <c r="J1434" t="s">
        <v>182</v>
      </c>
      <c r="K1434" t="s">
        <v>183</v>
      </c>
      <c r="L1434">
        <f t="shared" si="22"/>
        <v>0.60240617621473835</v>
      </c>
    </row>
    <row r="1435" spans="1:12" x14ac:dyDescent="0.2">
      <c r="A1435">
        <v>1496</v>
      </c>
      <c r="B1435" t="s">
        <v>500</v>
      </c>
      <c r="C1435" t="s">
        <v>16</v>
      </c>
      <c r="D1435" s="1">
        <v>42004</v>
      </c>
      <c r="E1435" s="2">
        <v>132447000000</v>
      </c>
      <c r="F1435" s="2">
        <v>60145000000</v>
      </c>
      <c r="G1435" s="2">
        <v>41817000000</v>
      </c>
      <c r="H1435" t="s">
        <v>12</v>
      </c>
      <c r="I1435" s="2">
        <v>18273000000</v>
      </c>
      <c r="J1435" t="s">
        <v>182</v>
      </c>
      <c r="K1435" t="s">
        <v>183</v>
      </c>
      <c r="L1435">
        <f t="shared" si="22"/>
        <v>0.54589382922980512</v>
      </c>
    </row>
    <row r="1436" spans="1:12" x14ac:dyDescent="0.2">
      <c r="A1436">
        <v>1497</v>
      </c>
      <c r="B1436" t="s">
        <v>500</v>
      </c>
      <c r="C1436" t="s">
        <v>17</v>
      </c>
      <c r="D1436" s="1">
        <v>42369</v>
      </c>
      <c r="E1436" s="2">
        <v>146801000000</v>
      </c>
      <c r="F1436" s="2">
        <v>67046000000</v>
      </c>
      <c r="G1436" s="2">
        <v>32954000000</v>
      </c>
      <c r="H1436" t="s">
        <v>12</v>
      </c>
      <c r="I1436" s="2">
        <v>22016000000</v>
      </c>
      <c r="J1436" t="s">
        <v>182</v>
      </c>
      <c r="K1436" t="s">
        <v>183</v>
      </c>
      <c r="L1436">
        <f t="shared" si="22"/>
        <v>0.54328648987404726</v>
      </c>
    </row>
    <row r="1437" spans="1:12" x14ac:dyDescent="0.2">
      <c r="A1437">
        <v>1498</v>
      </c>
      <c r="B1437" t="s">
        <v>501</v>
      </c>
      <c r="C1437" t="s">
        <v>11</v>
      </c>
      <c r="D1437" s="1">
        <v>41639</v>
      </c>
      <c r="E1437" s="2">
        <v>4206100000</v>
      </c>
      <c r="F1437" s="2">
        <v>2545600000</v>
      </c>
      <c r="G1437" s="2">
        <v>1193800000</v>
      </c>
      <c r="H1437" t="s">
        <v>12</v>
      </c>
      <c r="I1437" t="s">
        <v>12</v>
      </c>
      <c r="J1437" t="s">
        <v>36</v>
      </c>
      <c r="K1437" t="s">
        <v>502</v>
      </c>
      <c r="L1437">
        <f t="shared" si="22"/>
        <v>0.39478376643446422</v>
      </c>
    </row>
    <row r="1438" spans="1:12" x14ac:dyDescent="0.2">
      <c r="A1438">
        <v>1499</v>
      </c>
      <c r="B1438" t="s">
        <v>501</v>
      </c>
      <c r="C1438" t="s">
        <v>15</v>
      </c>
      <c r="D1438" s="1">
        <v>42004</v>
      </c>
      <c r="E1438" s="2">
        <v>4146300000</v>
      </c>
      <c r="F1438" s="2">
        <v>2493300000</v>
      </c>
      <c r="G1438" s="2">
        <v>1163900000</v>
      </c>
      <c r="H1438" t="s">
        <v>12</v>
      </c>
      <c r="I1438" t="s">
        <v>12</v>
      </c>
      <c r="J1438" t="s">
        <v>36</v>
      </c>
      <c r="K1438" t="s">
        <v>502</v>
      </c>
      <c r="L1438">
        <f t="shared" si="22"/>
        <v>0.39866869256927862</v>
      </c>
    </row>
    <row r="1439" spans="1:12" x14ac:dyDescent="0.2">
      <c r="A1439">
        <v>1500</v>
      </c>
      <c r="B1439" t="s">
        <v>501</v>
      </c>
      <c r="C1439" t="s">
        <v>16</v>
      </c>
      <c r="D1439" s="1">
        <v>42369</v>
      </c>
      <c r="E1439" s="2">
        <v>3567500000</v>
      </c>
      <c r="F1439" s="2">
        <v>2163500000</v>
      </c>
      <c r="G1439" s="2">
        <v>1051800000</v>
      </c>
      <c r="H1439" t="s">
        <v>12</v>
      </c>
      <c r="I1439" t="s">
        <v>12</v>
      </c>
      <c r="J1439" t="s">
        <v>36</v>
      </c>
      <c r="K1439" t="s">
        <v>502</v>
      </c>
      <c r="L1439">
        <f t="shared" si="22"/>
        <v>0.39355290819901889</v>
      </c>
    </row>
    <row r="1440" spans="1:12" x14ac:dyDescent="0.2">
      <c r="A1440">
        <v>1501</v>
      </c>
      <c r="B1440" t="s">
        <v>501</v>
      </c>
      <c r="C1440" t="s">
        <v>17</v>
      </c>
      <c r="D1440" s="1">
        <v>42735</v>
      </c>
      <c r="E1440" s="2">
        <v>4885000000</v>
      </c>
      <c r="F1440" s="2">
        <v>3003100000</v>
      </c>
      <c r="G1440" s="2">
        <v>1597300000</v>
      </c>
      <c r="H1440" t="s">
        <v>12</v>
      </c>
      <c r="I1440" t="s">
        <v>12</v>
      </c>
      <c r="J1440" t="s">
        <v>36</v>
      </c>
      <c r="K1440" t="s">
        <v>502</v>
      </c>
      <c r="L1440">
        <f t="shared" si="22"/>
        <v>0.38524053224155574</v>
      </c>
    </row>
    <row r="1441" spans="1:12" x14ac:dyDescent="0.2">
      <c r="A1441">
        <v>1502</v>
      </c>
      <c r="B1441" t="s">
        <v>503</v>
      </c>
      <c r="C1441" t="s">
        <v>11</v>
      </c>
      <c r="D1441" s="1">
        <v>41274</v>
      </c>
      <c r="E1441" s="2">
        <v>2665000000</v>
      </c>
      <c r="F1441" s="2">
        <v>1174000000</v>
      </c>
      <c r="G1441" s="2">
        <v>728000000</v>
      </c>
      <c r="H1441" s="2">
        <v>183000000</v>
      </c>
      <c r="I1441" t="s">
        <v>12</v>
      </c>
      <c r="J1441" t="s">
        <v>22</v>
      </c>
      <c r="K1441" t="s">
        <v>32</v>
      </c>
      <c r="L1441">
        <f t="shared" si="22"/>
        <v>0.55947467166979359</v>
      </c>
    </row>
    <row r="1442" spans="1:12" x14ac:dyDescent="0.2">
      <c r="A1442">
        <v>1503</v>
      </c>
      <c r="B1442" t="s">
        <v>503</v>
      </c>
      <c r="C1442" t="s">
        <v>15</v>
      </c>
      <c r="D1442" s="1">
        <v>41639</v>
      </c>
      <c r="E1442" s="2">
        <v>2692000000</v>
      </c>
      <c r="F1442" s="2">
        <v>1219000000</v>
      </c>
      <c r="G1442" s="2">
        <v>757000000</v>
      </c>
      <c r="H1442" s="2">
        <v>184000000</v>
      </c>
      <c r="I1442" t="s">
        <v>12</v>
      </c>
      <c r="J1442" t="s">
        <v>22</v>
      </c>
      <c r="K1442" t="s">
        <v>32</v>
      </c>
      <c r="L1442">
        <f t="shared" si="22"/>
        <v>0.54717682020802383</v>
      </c>
    </row>
    <row r="1443" spans="1:12" x14ac:dyDescent="0.2">
      <c r="A1443">
        <v>1504</v>
      </c>
      <c r="B1443" t="s">
        <v>503</v>
      </c>
      <c r="C1443" t="s">
        <v>16</v>
      </c>
      <c r="D1443" s="1">
        <v>42004</v>
      </c>
      <c r="E1443" s="2">
        <v>2732000000</v>
      </c>
      <c r="F1443" s="2">
        <v>1253000000</v>
      </c>
      <c r="G1443" s="2">
        <v>770000000</v>
      </c>
      <c r="H1443" s="2">
        <v>206000000</v>
      </c>
      <c r="I1443" t="s">
        <v>12</v>
      </c>
      <c r="J1443" t="s">
        <v>22</v>
      </c>
      <c r="K1443" t="s">
        <v>32</v>
      </c>
      <c r="L1443">
        <f t="shared" si="22"/>
        <v>0.54136163982430452</v>
      </c>
    </row>
    <row r="1444" spans="1:12" x14ac:dyDescent="0.2">
      <c r="A1444">
        <v>1505</v>
      </c>
      <c r="B1444" t="s">
        <v>503</v>
      </c>
      <c r="C1444" t="s">
        <v>17</v>
      </c>
      <c r="D1444" s="1">
        <v>42369</v>
      </c>
      <c r="E1444" s="2">
        <v>2530000000</v>
      </c>
      <c r="F1444" s="2">
        <v>1254000000</v>
      </c>
      <c r="G1444" s="2">
        <v>765000000</v>
      </c>
      <c r="H1444" s="2">
        <v>228000000</v>
      </c>
      <c r="I1444" t="s">
        <v>12</v>
      </c>
      <c r="J1444" t="s">
        <v>22</v>
      </c>
      <c r="K1444" t="s">
        <v>32</v>
      </c>
      <c r="L1444">
        <f t="shared" si="22"/>
        <v>0.5043478260869565</v>
      </c>
    </row>
    <row r="1445" spans="1:12" x14ac:dyDescent="0.2">
      <c r="A1445">
        <v>1506</v>
      </c>
      <c r="B1445" t="s">
        <v>504</v>
      </c>
      <c r="C1445" t="s">
        <v>11</v>
      </c>
      <c r="D1445" s="1">
        <v>41547</v>
      </c>
      <c r="E1445" s="2">
        <v>1924400000</v>
      </c>
      <c r="F1445" s="2">
        <v>874838000</v>
      </c>
      <c r="G1445" s="2">
        <v>254468000</v>
      </c>
      <c r="H1445" t="s">
        <v>12</v>
      </c>
      <c r="I1445" s="2">
        <v>45639000</v>
      </c>
      <c r="J1445" t="s">
        <v>13</v>
      </c>
      <c r="K1445" t="s">
        <v>91</v>
      </c>
      <c r="L1445">
        <f t="shared" si="22"/>
        <v>0.54539700685928083</v>
      </c>
    </row>
    <row r="1446" spans="1:12" x14ac:dyDescent="0.2">
      <c r="A1446">
        <v>1507</v>
      </c>
      <c r="B1446" t="s">
        <v>504</v>
      </c>
      <c r="C1446" t="s">
        <v>15</v>
      </c>
      <c r="D1446" s="1">
        <v>41912</v>
      </c>
      <c r="E1446" s="2">
        <v>2372906000</v>
      </c>
      <c r="F1446" s="2">
        <v>1105032000</v>
      </c>
      <c r="G1446" s="2">
        <v>276446000</v>
      </c>
      <c r="H1446" t="s">
        <v>12</v>
      </c>
      <c r="I1446" s="2">
        <v>63608000</v>
      </c>
      <c r="J1446" t="s">
        <v>13</v>
      </c>
      <c r="K1446" t="s">
        <v>91</v>
      </c>
      <c r="L1446">
        <f t="shared" si="22"/>
        <v>0.53431277935156296</v>
      </c>
    </row>
    <row r="1447" spans="1:12" x14ac:dyDescent="0.2">
      <c r="A1447">
        <v>1508</v>
      </c>
      <c r="B1447" t="s">
        <v>504</v>
      </c>
      <c r="C1447" t="s">
        <v>16</v>
      </c>
      <c r="D1447" s="1">
        <v>42277</v>
      </c>
      <c r="E1447" s="2">
        <v>2707115000</v>
      </c>
      <c r="F1447" s="2">
        <v>1257270000</v>
      </c>
      <c r="G1447" s="2">
        <v>321624000</v>
      </c>
      <c r="H1447" t="s">
        <v>12</v>
      </c>
      <c r="I1447" s="2">
        <v>54219000</v>
      </c>
      <c r="J1447" t="s">
        <v>13</v>
      </c>
      <c r="K1447" t="s">
        <v>91</v>
      </c>
      <c r="L1447">
        <f t="shared" si="22"/>
        <v>0.5355683079588418</v>
      </c>
    </row>
    <row r="1448" spans="1:12" x14ac:dyDescent="0.2">
      <c r="A1448">
        <v>1509</v>
      </c>
      <c r="B1448" t="s">
        <v>504</v>
      </c>
      <c r="C1448" t="s">
        <v>17</v>
      </c>
      <c r="D1448" s="1">
        <v>42643</v>
      </c>
      <c r="E1448" s="2">
        <v>3171411000</v>
      </c>
      <c r="F1448" s="2">
        <v>1443348000</v>
      </c>
      <c r="G1448" s="2">
        <v>382858000</v>
      </c>
      <c r="H1448" t="s">
        <v>12</v>
      </c>
      <c r="I1448" s="2">
        <v>77445000</v>
      </c>
      <c r="J1448" t="s">
        <v>13</v>
      </c>
      <c r="K1448" t="s">
        <v>91</v>
      </c>
      <c r="L1448">
        <f t="shared" si="22"/>
        <v>0.54488774870239154</v>
      </c>
    </row>
    <row r="1449" spans="1:12" x14ac:dyDescent="0.2">
      <c r="A1449">
        <v>1510</v>
      </c>
      <c r="B1449" t="s">
        <v>505</v>
      </c>
      <c r="C1449" t="s">
        <v>11</v>
      </c>
      <c r="D1449" s="1">
        <v>41544</v>
      </c>
      <c r="E1449" s="2">
        <v>11390000000</v>
      </c>
      <c r="F1449" s="2">
        <v>7739000000</v>
      </c>
      <c r="G1449" s="2">
        <v>1440000000</v>
      </c>
      <c r="H1449" s="2">
        <v>590000000</v>
      </c>
      <c r="I1449" t="s">
        <v>12</v>
      </c>
      <c r="J1449" t="s">
        <v>22</v>
      </c>
      <c r="K1449" t="s">
        <v>506</v>
      </c>
      <c r="L1449">
        <f t="shared" si="22"/>
        <v>0.32054433713784025</v>
      </c>
    </row>
    <row r="1450" spans="1:12" x14ac:dyDescent="0.2">
      <c r="A1450">
        <v>1511</v>
      </c>
      <c r="B1450" t="s">
        <v>505</v>
      </c>
      <c r="C1450" t="s">
        <v>15</v>
      </c>
      <c r="D1450" s="1">
        <v>41908</v>
      </c>
      <c r="E1450" s="2">
        <v>11973000000</v>
      </c>
      <c r="F1450" s="2">
        <v>8001000000</v>
      </c>
      <c r="G1450" s="2">
        <v>1534000000</v>
      </c>
      <c r="H1450" s="2">
        <v>583000000</v>
      </c>
      <c r="I1450" t="s">
        <v>12</v>
      </c>
      <c r="J1450" t="s">
        <v>22</v>
      </c>
      <c r="K1450" t="s">
        <v>506</v>
      </c>
      <c r="L1450">
        <f t="shared" si="22"/>
        <v>0.33174642946629918</v>
      </c>
    </row>
    <row r="1451" spans="1:12" x14ac:dyDescent="0.2">
      <c r="A1451">
        <v>1512</v>
      </c>
      <c r="B1451" t="s">
        <v>505</v>
      </c>
      <c r="C1451" t="s">
        <v>16</v>
      </c>
      <c r="D1451" s="1">
        <v>42272</v>
      </c>
      <c r="E1451" s="2">
        <v>12233000000</v>
      </c>
      <c r="F1451" s="2">
        <v>8146000000</v>
      </c>
      <c r="G1451" s="2">
        <v>1504000000</v>
      </c>
      <c r="H1451" s="2">
        <v>627000000</v>
      </c>
      <c r="I1451" t="s">
        <v>12</v>
      </c>
      <c r="J1451" t="s">
        <v>22</v>
      </c>
      <c r="K1451" t="s">
        <v>506</v>
      </c>
      <c r="L1451">
        <f t="shared" si="22"/>
        <v>0.33409629690182296</v>
      </c>
    </row>
    <row r="1452" spans="1:12" x14ac:dyDescent="0.2">
      <c r="A1452">
        <v>1513</v>
      </c>
      <c r="B1452" t="s">
        <v>505</v>
      </c>
      <c r="C1452" t="s">
        <v>17</v>
      </c>
      <c r="D1452" s="1">
        <v>42643</v>
      </c>
      <c r="E1452" s="2">
        <v>12238000000</v>
      </c>
      <c r="F1452" s="2">
        <v>8205000000</v>
      </c>
      <c r="G1452" s="2">
        <v>1463000000</v>
      </c>
      <c r="H1452" s="2">
        <v>644000000</v>
      </c>
      <c r="I1452" t="s">
        <v>12</v>
      </c>
      <c r="J1452" t="s">
        <v>22</v>
      </c>
      <c r="K1452" t="s">
        <v>506</v>
      </c>
      <c r="L1452">
        <f t="shared" si="22"/>
        <v>0.32954731165223072</v>
      </c>
    </row>
    <row r="1453" spans="1:12" x14ac:dyDescent="0.2">
      <c r="A1453">
        <v>1514</v>
      </c>
      <c r="B1453" t="s">
        <v>507</v>
      </c>
      <c r="C1453" t="s">
        <v>11</v>
      </c>
      <c r="D1453" s="1">
        <v>41273</v>
      </c>
      <c r="E1453" s="2">
        <v>5353197000</v>
      </c>
      <c r="F1453" s="2">
        <v>2943847000</v>
      </c>
      <c r="G1453" s="2">
        <v>1303427000</v>
      </c>
      <c r="H1453" t="s">
        <v>12</v>
      </c>
      <c r="I1453" s="2">
        <v>194039000</v>
      </c>
      <c r="J1453" t="s">
        <v>19</v>
      </c>
      <c r="K1453" t="s">
        <v>508</v>
      </c>
      <c r="L1453">
        <f t="shared" si="22"/>
        <v>0.45007684193202679</v>
      </c>
    </row>
    <row r="1454" spans="1:12" x14ac:dyDescent="0.2">
      <c r="A1454">
        <v>1515</v>
      </c>
      <c r="B1454" t="s">
        <v>507</v>
      </c>
      <c r="C1454" t="s">
        <v>15</v>
      </c>
      <c r="D1454" s="1">
        <v>41637</v>
      </c>
      <c r="E1454" s="2">
        <v>1603123000</v>
      </c>
      <c r="F1454" s="2">
        <v>662769000</v>
      </c>
      <c r="G1454" s="2">
        <v>531932000</v>
      </c>
      <c r="H1454" t="s">
        <v>12</v>
      </c>
      <c r="I1454" s="2">
        <v>74833000</v>
      </c>
      <c r="J1454" t="s">
        <v>19</v>
      </c>
      <c r="K1454" t="s">
        <v>508</v>
      </c>
      <c r="L1454">
        <f t="shared" si="22"/>
        <v>0.58657632633303869</v>
      </c>
    </row>
    <row r="1455" spans="1:12" x14ac:dyDescent="0.2">
      <c r="A1455">
        <v>1516</v>
      </c>
      <c r="B1455" t="s">
        <v>507</v>
      </c>
      <c r="C1455" t="s">
        <v>16</v>
      </c>
      <c r="D1455" s="1">
        <v>42004</v>
      </c>
      <c r="E1455" s="2">
        <v>2626141000</v>
      </c>
      <c r="F1455" s="2">
        <v>954990000</v>
      </c>
      <c r="G1455" s="2">
        <v>766854000</v>
      </c>
      <c r="H1455" t="s">
        <v>12</v>
      </c>
      <c r="I1455" s="2">
        <v>151837000</v>
      </c>
      <c r="J1455" t="s">
        <v>19</v>
      </c>
      <c r="K1455" t="s">
        <v>508</v>
      </c>
      <c r="L1455">
        <f t="shared" si="22"/>
        <v>0.63635235122561973</v>
      </c>
    </row>
    <row r="1456" spans="1:12" x14ac:dyDescent="0.2">
      <c r="A1456">
        <v>1517</v>
      </c>
      <c r="B1456" t="s">
        <v>507</v>
      </c>
      <c r="C1456" t="s">
        <v>17</v>
      </c>
      <c r="D1456" s="1">
        <v>42369</v>
      </c>
      <c r="E1456" s="2">
        <v>3050945000</v>
      </c>
      <c r="F1456" s="2">
        <v>923336000</v>
      </c>
      <c r="G1456" s="2">
        <v>1068221000</v>
      </c>
      <c r="H1456" t="s">
        <v>12</v>
      </c>
      <c r="I1456" s="2">
        <v>205087000</v>
      </c>
      <c r="J1456" t="s">
        <v>19</v>
      </c>
      <c r="K1456" t="s">
        <v>508</v>
      </c>
      <c r="L1456">
        <f t="shared" si="22"/>
        <v>0.69736065383020673</v>
      </c>
    </row>
    <row r="1457" spans="1:12" x14ac:dyDescent="0.2">
      <c r="A1457">
        <v>1518</v>
      </c>
      <c r="B1457" t="s">
        <v>509</v>
      </c>
      <c r="C1457" t="s">
        <v>11</v>
      </c>
      <c r="D1457" s="1">
        <v>41307</v>
      </c>
      <c r="E1457" s="2">
        <v>73301000000</v>
      </c>
      <c r="F1457" s="2">
        <v>50568000000</v>
      </c>
      <c r="G1457" s="2">
        <v>15110000000</v>
      </c>
      <c r="H1457" t="s">
        <v>12</v>
      </c>
      <c r="I1457" s="2">
        <v>2044000000</v>
      </c>
      <c r="J1457" t="s">
        <v>19</v>
      </c>
      <c r="K1457" t="s">
        <v>197</v>
      </c>
      <c r="L1457">
        <f t="shared" si="22"/>
        <v>0.31013219464945907</v>
      </c>
    </row>
    <row r="1458" spans="1:12" x14ac:dyDescent="0.2">
      <c r="A1458">
        <v>1519</v>
      </c>
      <c r="B1458" t="s">
        <v>509</v>
      </c>
      <c r="C1458" t="s">
        <v>15</v>
      </c>
      <c r="D1458" s="1">
        <v>41671</v>
      </c>
      <c r="E1458" s="2">
        <v>71279000000</v>
      </c>
      <c r="F1458" s="2">
        <v>50039000000</v>
      </c>
      <c r="G1458" s="2">
        <v>14465000000</v>
      </c>
      <c r="H1458" t="s">
        <v>12</v>
      </c>
      <c r="I1458" s="2">
        <v>1996000000</v>
      </c>
      <c r="J1458" t="s">
        <v>19</v>
      </c>
      <c r="K1458" t="s">
        <v>197</v>
      </c>
      <c r="L1458">
        <f t="shared" si="22"/>
        <v>0.2979839784508761</v>
      </c>
    </row>
    <row r="1459" spans="1:12" x14ac:dyDescent="0.2">
      <c r="A1459">
        <v>1520</v>
      </c>
      <c r="B1459" t="s">
        <v>509</v>
      </c>
      <c r="C1459" t="s">
        <v>16</v>
      </c>
      <c r="D1459" s="1">
        <v>42035</v>
      </c>
      <c r="E1459" s="2">
        <v>72618000000</v>
      </c>
      <c r="F1459" s="2">
        <v>51278000000</v>
      </c>
      <c r="G1459" s="2">
        <v>14676000000</v>
      </c>
      <c r="H1459" t="s">
        <v>12</v>
      </c>
      <c r="I1459" s="2">
        <v>2129000000</v>
      </c>
      <c r="J1459" t="s">
        <v>19</v>
      </c>
      <c r="K1459" t="s">
        <v>197</v>
      </c>
      <c r="L1459">
        <f t="shared" si="22"/>
        <v>0.29386653446803823</v>
      </c>
    </row>
    <row r="1460" spans="1:12" x14ac:dyDescent="0.2">
      <c r="A1460">
        <v>1521</v>
      </c>
      <c r="B1460" t="s">
        <v>509</v>
      </c>
      <c r="C1460" t="s">
        <v>17</v>
      </c>
      <c r="D1460" s="1">
        <v>42399</v>
      </c>
      <c r="E1460" s="2">
        <v>73785000000</v>
      </c>
      <c r="F1460" s="2">
        <v>51997000000</v>
      </c>
      <c r="G1460" s="2">
        <v>14665000000</v>
      </c>
      <c r="H1460" t="s">
        <v>12</v>
      </c>
      <c r="I1460" s="2">
        <v>2213000000</v>
      </c>
      <c r="J1460" t="s">
        <v>19</v>
      </c>
      <c r="K1460" t="s">
        <v>197</v>
      </c>
      <c r="L1460">
        <f t="shared" si="22"/>
        <v>0.29529037067154573</v>
      </c>
    </row>
    <row r="1461" spans="1:12" x14ac:dyDescent="0.2">
      <c r="A1461">
        <v>1522</v>
      </c>
      <c r="B1461" t="s">
        <v>510</v>
      </c>
      <c r="C1461" t="s">
        <v>11</v>
      </c>
      <c r="D1461" s="1">
        <v>41305</v>
      </c>
      <c r="E1461" s="2">
        <v>3794249000</v>
      </c>
      <c r="F1461" s="2">
        <v>1630965000</v>
      </c>
      <c r="G1461" s="2">
        <v>1466067000</v>
      </c>
      <c r="H1461" t="s">
        <v>12</v>
      </c>
      <c r="I1461" t="s">
        <v>12</v>
      </c>
      <c r="J1461" t="s">
        <v>19</v>
      </c>
      <c r="K1461" t="s">
        <v>289</v>
      </c>
      <c r="L1461">
        <f t="shared" si="22"/>
        <v>0.57014813735208203</v>
      </c>
    </row>
    <row r="1462" spans="1:12" x14ac:dyDescent="0.2">
      <c r="A1462">
        <v>1523</v>
      </c>
      <c r="B1462" t="s">
        <v>510</v>
      </c>
      <c r="C1462" t="s">
        <v>15</v>
      </c>
      <c r="D1462" s="1">
        <v>41670</v>
      </c>
      <c r="E1462" s="2">
        <v>4031100000</v>
      </c>
      <c r="F1462" s="2">
        <v>1690700000</v>
      </c>
      <c r="G1462" s="2">
        <v>2036100000</v>
      </c>
      <c r="H1462" t="s">
        <v>12</v>
      </c>
      <c r="I1462" t="s">
        <v>12</v>
      </c>
      <c r="J1462" t="s">
        <v>19</v>
      </c>
      <c r="K1462" t="s">
        <v>289</v>
      </c>
      <c r="L1462">
        <f t="shared" si="22"/>
        <v>0.58058594428319821</v>
      </c>
    </row>
    <row r="1463" spans="1:12" x14ac:dyDescent="0.2">
      <c r="A1463">
        <v>1524</v>
      </c>
      <c r="B1463" t="s">
        <v>510</v>
      </c>
      <c r="C1463" t="s">
        <v>16</v>
      </c>
      <c r="D1463" s="1">
        <v>42035</v>
      </c>
      <c r="E1463" s="2">
        <v>4249900000</v>
      </c>
      <c r="F1463" s="2">
        <v>1712700000</v>
      </c>
      <c r="G1463" s="2">
        <v>1645800000</v>
      </c>
      <c r="H1463" t="s">
        <v>12</v>
      </c>
      <c r="I1463" t="s">
        <v>12</v>
      </c>
      <c r="J1463" t="s">
        <v>19</v>
      </c>
      <c r="K1463" t="s">
        <v>289</v>
      </c>
      <c r="L1463">
        <f t="shared" si="22"/>
        <v>0.59700228240664488</v>
      </c>
    </row>
    <row r="1464" spans="1:12" x14ac:dyDescent="0.2">
      <c r="A1464">
        <v>1525</v>
      </c>
      <c r="B1464" t="s">
        <v>510</v>
      </c>
      <c r="C1464" t="s">
        <v>17</v>
      </c>
      <c r="D1464" s="1">
        <v>42400</v>
      </c>
      <c r="E1464" s="2">
        <v>4104900000</v>
      </c>
      <c r="F1464" s="2">
        <v>1613600000</v>
      </c>
      <c r="G1464" s="2">
        <v>1731200000</v>
      </c>
      <c r="H1464" t="s">
        <v>12</v>
      </c>
      <c r="I1464" t="s">
        <v>12</v>
      </c>
      <c r="J1464" t="s">
        <v>19</v>
      </c>
      <c r="K1464" t="s">
        <v>289</v>
      </c>
      <c r="L1464">
        <f t="shared" si="22"/>
        <v>0.60690881629272331</v>
      </c>
    </row>
    <row r="1465" spans="1:12" x14ac:dyDescent="0.2">
      <c r="A1465">
        <v>1526</v>
      </c>
      <c r="B1465" t="s">
        <v>511</v>
      </c>
      <c r="C1465" t="s">
        <v>11</v>
      </c>
      <c r="D1465" s="1">
        <v>41307</v>
      </c>
      <c r="E1465" s="2">
        <v>25878372000</v>
      </c>
      <c r="F1465" s="2">
        <v>18521400000</v>
      </c>
      <c r="G1465" s="2">
        <v>4250446000</v>
      </c>
      <c r="H1465" t="s">
        <v>12</v>
      </c>
      <c r="I1465" t="s">
        <v>12</v>
      </c>
      <c r="J1465" t="s">
        <v>19</v>
      </c>
      <c r="K1465" t="s">
        <v>257</v>
      </c>
      <c r="L1465">
        <f t="shared" si="22"/>
        <v>0.28429037189820128</v>
      </c>
    </row>
    <row r="1466" spans="1:12" x14ac:dyDescent="0.2">
      <c r="A1466">
        <v>1527</v>
      </c>
      <c r="B1466" t="s">
        <v>511</v>
      </c>
      <c r="C1466" t="s">
        <v>15</v>
      </c>
      <c r="D1466" s="1">
        <v>41671</v>
      </c>
      <c r="E1466" s="2">
        <v>27422696000</v>
      </c>
      <c r="F1466" s="2">
        <v>19605037000</v>
      </c>
      <c r="G1466" s="2">
        <v>4467089000</v>
      </c>
      <c r="H1466" t="s">
        <v>12</v>
      </c>
      <c r="I1466" t="s">
        <v>12</v>
      </c>
      <c r="J1466" t="s">
        <v>19</v>
      </c>
      <c r="K1466" t="s">
        <v>257</v>
      </c>
      <c r="L1466">
        <f t="shared" si="22"/>
        <v>0.2850798841951937</v>
      </c>
    </row>
    <row r="1467" spans="1:12" x14ac:dyDescent="0.2">
      <c r="A1467">
        <v>1528</v>
      </c>
      <c r="B1467" t="s">
        <v>511</v>
      </c>
      <c r="C1467" t="s">
        <v>16</v>
      </c>
      <c r="D1467" s="1">
        <v>42035</v>
      </c>
      <c r="E1467" s="2">
        <v>29078407000</v>
      </c>
      <c r="F1467" s="2">
        <v>20776522000</v>
      </c>
      <c r="G1467" s="2">
        <v>4695384000</v>
      </c>
      <c r="H1467" t="s">
        <v>12</v>
      </c>
      <c r="I1467" t="s">
        <v>12</v>
      </c>
      <c r="J1467" t="s">
        <v>19</v>
      </c>
      <c r="K1467" t="s">
        <v>257</v>
      </c>
      <c r="L1467">
        <f t="shared" si="22"/>
        <v>0.28549999317362884</v>
      </c>
    </row>
    <row r="1468" spans="1:12" x14ac:dyDescent="0.2">
      <c r="A1468">
        <v>1529</v>
      </c>
      <c r="B1468" t="s">
        <v>511</v>
      </c>
      <c r="C1468" t="s">
        <v>17</v>
      </c>
      <c r="D1468" s="1">
        <v>42399</v>
      </c>
      <c r="E1468" s="2">
        <v>30944938000</v>
      </c>
      <c r="F1468" s="2">
        <v>22034523000</v>
      </c>
      <c r="G1468" s="2">
        <v>5205715000</v>
      </c>
      <c r="H1468" t="s">
        <v>12</v>
      </c>
      <c r="I1468" t="s">
        <v>12</v>
      </c>
      <c r="J1468" t="s">
        <v>19</v>
      </c>
      <c r="K1468" t="s">
        <v>257</v>
      </c>
      <c r="L1468">
        <f t="shared" si="22"/>
        <v>0.28794418654191523</v>
      </c>
    </row>
    <row r="1469" spans="1:12" x14ac:dyDescent="0.2">
      <c r="A1469">
        <v>1530</v>
      </c>
      <c r="B1469" t="s">
        <v>512</v>
      </c>
      <c r="C1469" t="s">
        <v>11</v>
      </c>
      <c r="D1469" s="1">
        <v>41274</v>
      </c>
      <c r="E1469" s="2">
        <v>3589516000</v>
      </c>
      <c r="F1469" s="2">
        <v>1955682000</v>
      </c>
      <c r="G1469" t="s">
        <v>12</v>
      </c>
      <c r="H1469" t="s">
        <v>12</v>
      </c>
      <c r="I1469" s="2">
        <v>787329000</v>
      </c>
      <c r="J1469" t="s">
        <v>47</v>
      </c>
      <c r="K1469" t="s">
        <v>48</v>
      </c>
      <c r="L1469">
        <f t="shared" si="22"/>
        <v>0.45516832910063643</v>
      </c>
    </row>
    <row r="1470" spans="1:12" x14ac:dyDescent="0.2">
      <c r="A1470">
        <v>1531</v>
      </c>
      <c r="B1470" t="s">
        <v>512</v>
      </c>
      <c r="C1470" t="s">
        <v>15</v>
      </c>
      <c r="D1470" s="1">
        <v>41639</v>
      </c>
      <c r="E1470" s="2">
        <v>3494253000</v>
      </c>
      <c r="F1470" s="2">
        <v>1838766000</v>
      </c>
      <c r="G1470" t="s">
        <v>12</v>
      </c>
      <c r="H1470" t="s">
        <v>12</v>
      </c>
      <c r="I1470" s="2">
        <v>819711000</v>
      </c>
      <c r="J1470" t="s">
        <v>47</v>
      </c>
      <c r="K1470" t="s">
        <v>48</v>
      </c>
      <c r="L1470">
        <f t="shared" si="22"/>
        <v>0.47377422298843275</v>
      </c>
    </row>
    <row r="1471" spans="1:12" x14ac:dyDescent="0.2">
      <c r="A1471">
        <v>1532</v>
      </c>
      <c r="B1471" t="s">
        <v>512</v>
      </c>
      <c r="C1471" t="s">
        <v>16</v>
      </c>
      <c r="D1471" s="1">
        <v>42004</v>
      </c>
      <c r="E1471" s="2">
        <v>3620095000</v>
      </c>
      <c r="F1471" s="2">
        <v>1903384000</v>
      </c>
      <c r="G1471" t="s">
        <v>12</v>
      </c>
      <c r="H1471" t="s">
        <v>12</v>
      </c>
      <c r="I1471" s="2">
        <v>855908000</v>
      </c>
      <c r="J1471" t="s">
        <v>47</v>
      </c>
      <c r="K1471" t="s">
        <v>48</v>
      </c>
      <c r="L1471">
        <f t="shared" si="22"/>
        <v>0.47421711308681125</v>
      </c>
    </row>
    <row r="1472" spans="1:12" x14ac:dyDescent="0.2">
      <c r="A1472">
        <v>1533</v>
      </c>
      <c r="B1472" t="s">
        <v>512</v>
      </c>
      <c r="C1472" t="s">
        <v>17</v>
      </c>
      <c r="D1472" s="1">
        <v>42369</v>
      </c>
      <c r="E1472" s="2">
        <v>3766065000</v>
      </c>
      <c r="F1472" s="2">
        <v>2016212000</v>
      </c>
      <c r="G1472" t="s">
        <v>12</v>
      </c>
      <c r="H1472" t="s">
        <v>12</v>
      </c>
      <c r="I1472" s="2">
        <v>907024000</v>
      </c>
      <c r="J1472" t="s">
        <v>47</v>
      </c>
      <c r="K1472" t="s">
        <v>48</v>
      </c>
      <c r="L1472">
        <f t="shared" si="22"/>
        <v>0.46463696192179371</v>
      </c>
    </row>
    <row r="1473" spans="1:12" x14ac:dyDescent="0.2">
      <c r="A1473">
        <v>1534</v>
      </c>
      <c r="B1473" t="s">
        <v>513</v>
      </c>
      <c r="C1473" t="s">
        <v>11</v>
      </c>
      <c r="D1473" s="1">
        <v>41274</v>
      </c>
      <c r="E1473" s="2">
        <v>12509900000</v>
      </c>
      <c r="F1473" s="2">
        <v>7214400000</v>
      </c>
      <c r="G1473" s="2">
        <v>3354900000</v>
      </c>
      <c r="H1473" s="2">
        <v>376400000</v>
      </c>
      <c r="I1473" t="s">
        <v>12</v>
      </c>
      <c r="J1473" t="s">
        <v>25</v>
      </c>
      <c r="K1473" t="s">
        <v>30</v>
      </c>
      <c r="L1473">
        <f t="shared" si="22"/>
        <v>0.42330474264382612</v>
      </c>
    </row>
    <row r="1474" spans="1:12" x14ac:dyDescent="0.2">
      <c r="A1474">
        <v>1535</v>
      </c>
      <c r="B1474" t="s">
        <v>513</v>
      </c>
      <c r="C1474" t="s">
        <v>15</v>
      </c>
      <c r="D1474" s="1">
        <v>41639</v>
      </c>
      <c r="E1474" s="2">
        <v>13090300000</v>
      </c>
      <c r="F1474" s="2">
        <v>7561200000</v>
      </c>
      <c r="G1474" s="2">
        <v>3446300000</v>
      </c>
      <c r="H1474" s="2">
        <v>395500000</v>
      </c>
      <c r="I1474" t="s">
        <v>12</v>
      </c>
      <c r="J1474" t="s">
        <v>25</v>
      </c>
      <c r="K1474" t="s">
        <v>30</v>
      </c>
      <c r="L1474">
        <f t="shared" si="22"/>
        <v>0.422381458026172</v>
      </c>
    </row>
    <row r="1475" spans="1:12" x14ac:dyDescent="0.2">
      <c r="A1475">
        <v>1536</v>
      </c>
      <c r="B1475" t="s">
        <v>513</v>
      </c>
      <c r="C1475" t="s">
        <v>16</v>
      </c>
      <c r="D1475" s="1">
        <v>42004</v>
      </c>
      <c r="E1475" s="2">
        <v>16889600000</v>
      </c>
      <c r="F1475" s="2">
        <v>9397600000</v>
      </c>
      <c r="G1475" s="2">
        <v>4896100000</v>
      </c>
      <c r="H1475" s="2">
        <v>691100000</v>
      </c>
      <c r="I1475" t="s">
        <v>12</v>
      </c>
      <c r="J1475" t="s">
        <v>25</v>
      </c>
      <c r="K1475" t="s">
        <v>30</v>
      </c>
      <c r="L1475">
        <f t="shared" ref="L1475:L1538" si="23">1-F1475/E1475</f>
        <v>0.44358658582796517</v>
      </c>
    </row>
    <row r="1476" spans="1:12" x14ac:dyDescent="0.2">
      <c r="A1476">
        <v>1537</v>
      </c>
      <c r="B1476" t="s">
        <v>513</v>
      </c>
      <c r="C1476" t="s">
        <v>17</v>
      </c>
      <c r="D1476" s="1">
        <v>42369</v>
      </c>
      <c r="E1476" s="2">
        <v>16965400000</v>
      </c>
      <c r="F1476" s="2">
        <v>9209500000</v>
      </c>
      <c r="G1476" s="2">
        <v>4612100000</v>
      </c>
      <c r="H1476" s="2">
        <v>692300000</v>
      </c>
      <c r="I1476" t="s">
        <v>12</v>
      </c>
      <c r="J1476" t="s">
        <v>25</v>
      </c>
      <c r="K1476" t="s">
        <v>30</v>
      </c>
      <c r="L1476">
        <f t="shared" si="23"/>
        <v>0.45715986655192331</v>
      </c>
    </row>
    <row r="1477" spans="1:12" x14ac:dyDescent="0.2">
      <c r="A1477">
        <v>1538</v>
      </c>
      <c r="B1477" t="s">
        <v>514</v>
      </c>
      <c r="C1477" t="s">
        <v>11</v>
      </c>
      <c r="D1477" s="1">
        <v>41274</v>
      </c>
      <c r="E1477" s="2">
        <v>763000000</v>
      </c>
      <c r="F1477" s="2">
        <v>12000000</v>
      </c>
      <c r="G1477" s="2">
        <v>429000000</v>
      </c>
      <c r="H1477" t="s">
        <v>12</v>
      </c>
      <c r="I1477" s="2">
        <v>26000000</v>
      </c>
      <c r="J1477" t="s">
        <v>19</v>
      </c>
      <c r="K1477" t="s">
        <v>77</v>
      </c>
      <c r="L1477">
        <f t="shared" si="23"/>
        <v>0.98427260812581918</v>
      </c>
    </row>
    <row r="1478" spans="1:12" x14ac:dyDescent="0.2">
      <c r="A1478">
        <v>1539</v>
      </c>
      <c r="B1478" t="s">
        <v>514</v>
      </c>
      <c r="C1478" t="s">
        <v>15</v>
      </c>
      <c r="D1478" s="1">
        <v>41639</v>
      </c>
      <c r="E1478" s="2">
        <v>945000000</v>
      </c>
      <c r="F1478" s="2">
        <v>18000000</v>
      </c>
      <c r="G1478" s="2">
        <v>597000000</v>
      </c>
      <c r="H1478" t="s">
        <v>12</v>
      </c>
      <c r="I1478" s="2">
        <v>36000000</v>
      </c>
      <c r="J1478" t="s">
        <v>19</v>
      </c>
      <c r="K1478" t="s">
        <v>77</v>
      </c>
      <c r="L1478">
        <f t="shared" si="23"/>
        <v>0.98095238095238091</v>
      </c>
    </row>
    <row r="1479" spans="1:12" x14ac:dyDescent="0.2">
      <c r="A1479">
        <v>1540</v>
      </c>
      <c r="B1479" t="s">
        <v>514</v>
      </c>
      <c r="C1479" t="s">
        <v>16</v>
      </c>
      <c r="D1479" s="1">
        <v>42004</v>
      </c>
      <c r="E1479" s="2">
        <v>1246000000</v>
      </c>
      <c r="F1479" s="2">
        <v>40000000</v>
      </c>
      <c r="G1479" s="2">
        <v>801000000</v>
      </c>
      <c r="H1479" t="s">
        <v>12</v>
      </c>
      <c r="I1479" s="2">
        <v>65000000</v>
      </c>
      <c r="J1479" t="s">
        <v>19</v>
      </c>
      <c r="K1479" t="s">
        <v>77</v>
      </c>
      <c r="L1479">
        <f t="shared" si="23"/>
        <v>0.9678972712680578</v>
      </c>
    </row>
    <row r="1480" spans="1:12" x14ac:dyDescent="0.2">
      <c r="A1480">
        <v>1541</v>
      </c>
      <c r="B1480" t="s">
        <v>514</v>
      </c>
      <c r="C1480" t="s">
        <v>17</v>
      </c>
      <c r="D1480" s="1">
        <v>42369</v>
      </c>
      <c r="E1480" s="2">
        <v>1492000000</v>
      </c>
      <c r="F1480" s="2">
        <v>58000000</v>
      </c>
      <c r="G1480" s="2">
        <v>1109000000</v>
      </c>
      <c r="H1480" t="s">
        <v>12</v>
      </c>
      <c r="I1480" s="2">
        <v>93000000</v>
      </c>
      <c r="J1480" t="s">
        <v>19</v>
      </c>
      <c r="K1480" t="s">
        <v>77</v>
      </c>
      <c r="L1480">
        <f t="shared" si="23"/>
        <v>0.96112600536193027</v>
      </c>
    </row>
    <row r="1481" spans="1:12" x14ac:dyDescent="0.2">
      <c r="A1481">
        <v>1542</v>
      </c>
      <c r="B1481" t="s">
        <v>515</v>
      </c>
      <c r="C1481" t="s">
        <v>11</v>
      </c>
      <c r="D1481" s="1">
        <v>41639</v>
      </c>
      <c r="E1481" s="2">
        <v>26191000000</v>
      </c>
      <c r="F1481" s="2">
        <v>13307000000</v>
      </c>
      <c r="G1481" s="2">
        <v>3757000000</v>
      </c>
      <c r="H1481" t="s">
        <v>12</v>
      </c>
      <c r="I1481" s="2">
        <v>3821000000</v>
      </c>
      <c r="J1481" t="s">
        <v>47</v>
      </c>
      <c r="K1481" t="s">
        <v>50</v>
      </c>
      <c r="L1481">
        <f t="shared" si="23"/>
        <v>0.49192470696040624</v>
      </c>
    </row>
    <row r="1482" spans="1:12" x14ac:dyDescent="0.2">
      <c r="A1482">
        <v>1543</v>
      </c>
      <c r="B1482" t="s">
        <v>515</v>
      </c>
      <c r="C1482" t="s">
        <v>15</v>
      </c>
      <c r="D1482" s="1">
        <v>42004</v>
      </c>
      <c r="E1482" s="2">
        <v>27174000000</v>
      </c>
      <c r="F1482" s="2">
        <v>13870000000</v>
      </c>
      <c r="G1482" s="2">
        <v>3964000000</v>
      </c>
      <c r="H1482" t="s">
        <v>12</v>
      </c>
      <c r="I1482" s="2">
        <v>3882000000</v>
      </c>
      <c r="J1482" t="s">
        <v>47</v>
      </c>
      <c r="K1482" t="s">
        <v>50</v>
      </c>
      <c r="L1482">
        <f t="shared" si="23"/>
        <v>0.48958563332597338</v>
      </c>
    </row>
    <row r="1483" spans="1:12" x14ac:dyDescent="0.2">
      <c r="A1483">
        <v>1544</v>
      </c>
      <c r="B1483" t="s">
        <v>515</v>
      </c>
      <c r="C1483" t="s">
        <v>16</v>
      </c>
      <c r="D1483" s="1">
        <v>42369</v>
      </c>
      <c r="E1483" s="2">
        <v>26815000000</v>
      </c>
      <c r="F1483" s="2">
        <v>13723000000</v>
      </c>
      <c r="G1483" s="2">
        <v>4094000000</v>
      </c>
      <c r="H1483" t="s">
        <v>12</v>
      </c>
      <c r="I1483" s="2">
        <v>3885000000</v>
      </c>
      <c r="J1483" t="s">
        <v>47</v>
      </c>
      <c r="K1483" t="s">
        <v>50</v>
      </c>
      <c r="L1483">
        <f t="shared" si="23"/>
        <v>0.48823419727764306</v>
      </c>
    </row>
    <row r="1484" spans="1:12" x14ac:dyDescent="0.2">
      <c r="A1484">
        <v>1545</v>
      </c>
      <c r="B1484" t="s">
        <v>515</v>
      </c>
      <c r="C1484" t="s">
        <v>17</v>
      </c>
      <c r="D1484" s="1">
        <v>42735</v>
      </c>
      <c r="E1484" s="2">
        <v>27625000000</v>
      </c>
      <c r="F1484" s="2">
        <v>15070000000</v>
      </c>
      <c r="G1484" s="2">
        <v>4154000000</v>
      </c>
      <c r="H1484" t="s">
        <v>12</v>
      </c>
      <c r="I1484" s="2">
        <v>3985000000</v>
      </c>
      <c r="J1484" t="s">
        <v>47</v>
      </c>
      <c r="K1484" t="s">
        <v>50</v>
      </c>
      <c r="L1484">
        <f t="shared" si="23"/>
        <v>0.45447963800904978</v>
      </c>
    </row>
    <row r="1485" spans="1:12" x14ac:dyDescent="0.2">
      <c r="A1485">
        <v>1546</v>
      </c>
      <c r="B1485" t="s">
        <v>516</v>
      </c>
      <c r="C1485" t="s">
        <v>11</v>
      </c>
      <c r="D1485" s="1">
        <v>41272</v>
      </c>
      <c r="E1485" s="2">
        <v>4664120000</v>
      </c>
      <c r="F1485" s="2">
        <v>3098066000</v>
      </c>
      <c r="G1485" s="2">
        <v>1040287000</v>
      </c>
      <c r="H1485" t="s">
        <v>12</v>
      </c>
      <c r="I1485" s="2">
        <v>88975000</v>
      </c>
      <c r="J1485" t="s">
        <v>19</v>
      </c>
      <c r="K1485" t="s">
        <v>517</v>
      </c>
      <c r="L1485">
        <f t="shared" si="23"/>
        <v>0.33576623242969739</v>
      </c>
    </row>
    <row r="1486" spans="1:12" x14ac:dyDescent="0.2">
      <c r="A1486">
        <v>1547</v>
      </c>
      <c r="B1486" t="s">
        <v>516</v>
      </c>
      <c r="C1486" t="s">
        <v>15</v>
      </c>
      <c r="D1486" s="1">
        <v>41636</v>
      </c>
      <c r="E1486" s="2">
        <v>5164784000</v>
      </c>
      <c r="F1486" s="2">
        <v>3411175000</v>
      </c>
      <c r="G1486" s="2">
        <v>1138934000</v>
      </c>
      <c r="H1486" t="s">
        <v>12</v>
      </c>
      <c r="I1486" s="2">
        <v>100025000</v>
      </c>
      <c r="J1486" t="s">
        <v>19</v>
      </c>
      <c r="K1486" t="s">
        <v>517</v>
      </c>
      <c r="L1486">
        <f t="shared" si="23"/>
        <v>0.33953191459700927</v>
      </c>
    </row>
    <row r="1487" spans="1:12" x14ac:dyDescent="0.2">
      <c r="A1487">
        <v>1548</v>
      </c>
      <c r="B1487" t="s">
        <v>516</v>
      </c>
      <c r="C1487" t="s">
        <v>16</v>
      </c>
      <c r="D1487" s="1">
        <v>42000</v>
      </c>
      <c r="E1487" s="2">
        <v>5711715000</v>
      </c>
      <c r="F1487" s="2">
        <v>3761300000</v>
      </c>
      <c r="G1487" s="2">
        <v>1246308000</v>
      </c>
      <c r="H1487" t="s">
        <v>12</v>
      </c>
      <c r="I1487" s="2">
        <v>114635000</v>
      </c>
      <c r="J1487" t="s">
        <v>19</v>
      </c>
      <c r="K1487" t="s">
        <v>517</v>
      </c>
      <c r="L1487">
        <f t="shared" si="23"/>
        <v>0.34147624662645104</v>
      </c>
    </row>
    <row r="1488" spans="1:12" x14ac:dyDescent="0.2">
      <c r="A1488">
        <v>1549</v>
      </c>
      <c r="B1488" t="s">
        <v>516</v>
      </c>
      <c r="C1488" t="s">
        <v>17</v>
      </c>
      <c r="D1488" s="1">
        <v>42364</v>
      </c>
      <c r="E1488" s="2">
        <v>6226507000</v>
      </c>
      <c r="F1488" s="2">
        <v>4083333000</v>
      </c>
      <c r="G1488" s="2">
        <v>1369097000</v>
      </c>
      <c r="H1488" t="s">
        <v>12</v>
      </c>
      <c r="I1488" s="2">
        <v>123569000</v>
      </c>
      <c r="J1488" t="s">
        <v>19</v>
      </c>
      <c r="K1488" t="s">
        <v>517</v>
      </c>
      <c r="L1488">
        <f t="shared" si="23"/>
        <v>0.34420165270833225</v>
      </c>
    </row>
    <row r="1489" spans="1:12" x14ac:dyDescent="0.2">
      <c r="A1489">
        <v>1550</v>
      </c>
      <c r="B1489" t="s">
        <v>518</v>
      </c>
      <c r="C1489" t="s">
        <v>11</v>
      </c>
      <c r="D1489" s="1">
        <v>41550</v>
      </c>
      <c r="E1489" s="2">
        <v>34374000000</v>
      </c>
      <c r="F1489" s="2">
        <v>32016000000</v>
      </c>
      <c r="G1489" s="2">
        <v>983000000</v>
      </c>
      <c r="H1489" t="s">
        <v>12</v>
      </c>
      <c r="I1489" t="s">
        <v>12</v>
      </c>
      <c r="J1489" t="s">
        <v>36</v>
      </c>
      <c r="K1489" t="s">
        <v>124</v>
      </c>
      <c r="L1489">
        <f t="shared" si="23"/>
        <v>6.8598359224995686E-2</v>
      </c>
    </row>
    <row r="1490" spans="1:12" x14ac:dyDescent="0.2">
      <c r="A1490">
        <v>1551</v>
      </c>
      <c r="B1490" t="s">
        <v>518</v>
      </c>
      <c r="C1490" t="s">
        <v>15</v>
      </c>
      <c r="D1490" s="1">
        <v>41915</v>
      </c>
      <c r="E1490" s="2">
        <v>37580000000</v>
      </c>
      <c r="F1490" s="2">
        <v>34895000000</v>
      </c>
      <c r="G1490" s="2">
        <v>1255000000</v>
      </c>
      <c r="H1490" t="s">
        <v>12</v>
      </c>
      <c r="I1490" t="s">
        <v>12</v>
      </c>
      <c r="J1490" t="s">
        <v>36</v>
      </c>
      <c r="K1490" t="s">
        <v>124</v>
      </c>
      <c r="L1490">
        <f t="shared" si="23"/>
        <v>7.1447578499201692E-2</v>
      </c>
    </row>
    <row r="1491" spans="1:12" x14ac:dyDescent="0.2">
      <c r="A1491">
        <v>1552</v>
      </c>
      <c r="B1491" t="s">
        <v>518</v>
      </c>
      <c r="C1491" t="s">
        <v>16</v>
      </c>
      <c r="D1491" s="1">
        <v>42280</v>
      </c>
      <c r="E1491" s="2">
        <v>41373000000</v>
      </c>
      <c r="F1491" s="2">
        <v>37456000000</v>
      </c>
      <c r="G1491" s="2">
        <v>1748000000</v>
      </c>
      <c r="H1491" t="s">
        <v>12</v>
      </c>
      <c r="I1491" t="s">
        <v>12</v>
      </c>
      <c r="J1491" t="s">
        <v>36</v>
      </c>
      <c r="K1491" t="s">
        <v>124</v>
      </c>
      <c r="L1491">
        <f t="shared" si="23"/>
        <v>9.4675271312208431E-2</v>
      </c>
    </row>
    <row r="1492" spans="1:12" x14ac:dyDescent="0.2">
      <c r="A1492">
        <v>1553</v>
      </c>
      <c r="B1492" t="s">
        <v>518</v>
      </c>
      <c r="C1492" t="s">
        <v>17</v>
      </c>
      <c r="D1492" s="1">
        <v>42644</v>
      </c>
      <c r="E1492" s="2">
        <v>36881000000</v>
      </c>
      <c r="F1492" s="2">
        <v>32184000000</v>
      </c>
      <c r="G1492" s="2">
        <v>1864000000</v>
      </c>
      <c r="H1492" t="s">
        <v>12</v>
      </c>
      <c r="I1492" t="s">
        <v>12</v>
      </c>
      <c r="J1492" t="s">
        <v>36</v>
      </c>
      <c r="K1492" t="s">
        <v>124</v>
      </c>
      <c r="L1492">
        <f t="shared" si="23"/>
        <v>0.12735554892763212</v>
      </c>
    </row>
    <row r="1493" spans="1:12" x14ac:dyDescent="0.2">
      <c r="A1493">
        <v>1554</v>
      </c>
      <c r="B1493" t="s">
        <v>519</v>
      </c>
      <c r="C1493" t="s">
        <v>11</v>
      </c>
      <c r="D1493" s="1">
        <v>41274</v>
      </c>
      <c r="E1493" s="2">
        <v>29809000000</v>
      </c>
      <c r="F1493" s="2">
        <v>26045000000</v>
      </c>
      <c r="G1493" s="2">
        <v>1702000000</v>
      </c>
      <c r="H1493" t="s">
        <v>12</v>
      </c>
      <c r="I1493" s="2">
        <v>418000000</v>
      </c>
      <c r="J1493" t="s">
        <v>83</v>
      </c>
      <c r="K1493" t="s">
        <v>341</v>
      </c>
      <c r="L1493">
        <f t="shared" si="23"/>
        <v>0.12627058941930291</v>
      </c>
    </row>
    <row r="1494" spans="1:12" x14ac:dyDescent="0.2">
      <c r="A1494">
        <v>1555</v>
      </c>
      <c r="B1494" t="s">
        <v>519</v>
      </c>
      <c r="C1494" t="s">
        <v>15</v>
      </c>
      <c r="D1494" s="1">
        <v>41639</v>
      </c>
      <c r="E1494" s="2">
        <v>37601000000</v>
      </c>
      <c r="F1494" s="2">
        <v>34085000000</v>
      </c>
      <c r="G1494" s="2">
        <v>2248000000</v>
      </c>
      <c r="H1494" t="s">
        <v>12</v>
      </c>
      <c r="I1494" s="2">
        <v>489000000</v>
      </c>
      <c r="J1494" t="s">
        <v>83</v>
      </c>
      <c r="K1494" t="s">
        <v>341</v>
      </c>
      <c r="L1494">
        <f t="shared" si="23"/>
        <v>9.3508151378952742E-2</v>
      </c>
    </row>
    <row r="1495" spans="1:12" x14ac:dyDescent="0.2">
      <c r="A1495">
        <v>1556</v>
      </c>
      <c r="B1495" t="s">
        <v>519</v>
      </c>
      <c r="C1495" t="s">
        <v>16</v>
      </c>
      <c r="D1495" s="1">
        <v>42004</v>
      </c>
      <c r="E1495" s="2">
        <v>40633000000</v>
      </c>
      <c r="F1495" s="2">
        <v>35673000000</v>
      </c>
      <c r="G1495" s="2">
        <v>2762000000</v>
      </c>
      <c r="H1495" t="s">
        <v>12</v>
      </c>
      <c r="I1495" s="2">
        <v>562000000</v>
      </c>
      <c r="J1495" t="s">
        <v>83</v>
      </c>
      <c r="K1495" t="s">
        <v>341</v>
      </c>
      <c r="L1495">
        <f t="shared" si="23"/>
        <v>0.12206826963305684</v>
      </c>
    </row>
    <row r="1496" spans="1:12" x14ac:dyDescent="0.2">
      <c r="A1496">
        <v>1557</v>
      </c>
      <c r="B1496" t="s">
        <v>519</v>
      </c>
      <c r="C1496" t="s">
        <v>17</v>
      </c>
      <c r="D1496" s="1">
        <v>42369</v>
      </c>
      <c r="E1496" s="2">
        <v>28711000000</v>
      </c>
      <c r="F1496" s="2">
        <v>22466000000</v>
      </c>
      <c r="G1496" s="2">
        <v>2620000000</v>
      </c>
      <c r="H1496" t="s">
        <v>12</v>
      </c>
      <c r="I1496" s="2">
        <v>756000000</v>
      </c>
      <c r="J1496" t="s">
        <v>83</v>
      </c>
      <c r="K1496" t="s">
        <v>341</v>
      </c>
      <c r="L1496">
        <f t="shared" si="23"/>
        <v>0.21751245167357458</v>
      </c>
    </row>
    <row r="1497" spans="1:12" x14ac:dyDescent="0.2">
      <c r="A1497">
        <v>1558</v>
      </c>
      <c r="B1497" t="s">
        <v>520</v>
      </c>
      <c r="C1497" t="s">
        <v>11</v>
      </c>
      <c r="D1497" s="1">
        <v>41274</v>
      </c>
      <c r="E1497" s="2">
        <v>1793557000</v>
      </c>
      <c r="F1497" s="2">
        <v>1189341000</v>
      </c>
      <c r="G1497" s="2">
        <v>247597000</v>
      </c>
      <c r="H1497" t="s">
        <v>12</v>
      </c>
      <c r="I1497" t="s">
        <v>12</v>
      </c>
      <c r="J1497" t="s">
        <v>22</v>
      </c>
      <c r="K1497" t="s">
        <v>57</v>
      </c>
      <c r="L1497">
        <f t="shared" si="23"/>
        <v>0.33688140382491327</v>
      </c>
    </row>
    <row r="1498" spans="1:12" x14ac:dyDescent="0.2">
      <c r="A1498">
        <v>1559</v>
      </c>
      <c r="B1498" t="s">
        <v>520</v>
      </c>
      <c r="C1498" t="s">
        <v>15</v>
      </c>
      <c r="D1498" s="1">
        <v>41639</v>
      </c>
      <c r="E1498" s="2">
        <v>2064305000</v>
      </c>
      <c r="F1498" s="2">
        <v>1369438000</v>
      </c>
      <c r="G1498" s="2">
        <v>312367000</v>
      </c>
      <c r="H1498" t="s">
        <v>12</v>
      </c>
      <c r="I1498" t="s">
        <v>12</v>
      </c>
      <c r="J1498" t="s">
        <v>22</v>
      </c>
      <c r="K1498" t="s">
        <v>57</v>
      </c>
      <c r="L1498">
        <f t="shared" si="23"/>
        <v>0.33661062682113352</v>
      </c>
    </row>
    <row r="1499" spans="1:12" x14ac:dyDescent="0.2">
      <c r="A1499">
        <v>1560</v>
      </c>
      <c r="B1499" t="s">
        <v>520</v>
      </c>
      <c r="C1499" t="s">
        <v>16</v>
      </c>
      <c r="D1499" s="1">
        <v>42004</v>
      </c>
      <c r="E1499" s="2">
        <v>2446877000</v>
      </c>
      <c r="F1499" s="2">
        <v>1668892000</v>
      </c>
      <c r="G1499" s="2">
        <v>346345000</v>
      </c>
      <c r="H1499" t="s">
        <v>12</v>
      </c>
      <c r="I1499" t="s">
        <v>12</v>
      </c>
      <c r="J1499" t="s">
        <v>22</v>
      </c>
      <c r="K1499" t="s">
        <v>57</v>
      </c>
      <c r="L1499">
        <f t="shared" si="23"/>
        <v>0.31795018711606671</v>
      </c>
    </row>
    <row r="1500" spans="1:12" x14ac:dyDescent="0.2">
      <c r="A1500">
        <v>1561</v>
      </c>
      <c r="B1500" t="s">
        <v>520</v>
      </c>
      <c r="C1500" t="s">
        <v>17</v>
      </c>
      <c r="D1500" s="1">
        <v>42369</v>
      </c>
      <c r="E1500" s="2">
        <v>2779541000</v>
      </c>
      <c r="F1500" s="2">
        <v>1855181000</v>
      </c>
      <c r="G1500" s="2">
        <v>390253000</v>
      </c>
      <c r="H1500" t="s">
        <v>12</v>
      </c>
      <c r="I1500" t="s">
        <v>12</v>
      </c>
      <c r="J1500" t="s">
        <v>22</v>
      </c>
      <c r="K1500" t="s">
        <v>57</v>
      </c>
      <c r="L1500">
        <f t="shared" si="23"/>
        <v>0.33255850516326257</v>
      </c>
    </row>
    <row r="1501" spans="1:12" x14ac:dyDescent="0.2">
      <c r="A1501">
        <v>1562</v>
      </c>
      <c r="B1501" t="s">
        <v>521</v>
      </c>
      <c r="C1501" t="s">
        <v>11</v>
      </c>
      <c r="D1501" s="1">
        <v>41274</v>
      </c>
      <c r="E1501" s="2">
        <v>12825000000</v>
      </c>
      <c r="F1501" s="2">
        <v>6457000000</v>
      </c>
      <c r="G1501" s="2">
        <v>1804000000</v>
      </c>
      <c r="H1501" s="2">
        <v>1877000000</v>
      </c>
      <c r="I1501" t="s">
        <v>12</v>
      </c>
      <c r="J1501" t="s">
        <v>22</v>
      </c>
      <c r="K1501" t="s">
        <v>34</v>
      </c>
      <c r="L1501">
        <f t="shared" si="23"/>
        <v>0.49653021442495127</v>
      </c>
    </row>
    <row r="1502" spans="1:12" x14ac:dyDescent="0.2">
      <c r="A1502">
        <v>1563</v>
      </c>
      <c r="B1502" t="s">
        <v>521</v>
      </c>
      <c r="C1502" t="s">
        <v>15</v>
      </c>
      <c r="D1502" s="1">
        <v>41639</v>
      </c>
      <c r="E1502" s="2">
        <v>12205000000</v>
      </c>
      <c r="F1502" s="2">
        <v>5841000000</v>
      </c>
      <c r="G1502" s="2">
        <v>1858000000</v>
      </c>
      <c r="H1502" s="2">
        <v>1522000000</v>
      </c>
      <c r="I1502" t="s">
        <v>12</v>
      </c>
      <c r="J1502" t="s">
        <v>22</v>
      </c>
      <c r="K1502" t="s">
        <v>34</v>
      </c>
      <c r="L1502">
        <f t="shared" si="23"/>
        <v>0.52142564522736579</v>
      </c>
    </row>
    <row r="1503" spans="1:12" x14ac:dyDescent="0.2">
      <c r="A1503">
        <v>1564</v>
      </c>
      <c r="B1503" t="s">
        <v>521</v>
      </c>
      <c r="C1503" t="s">
        <v>16</v>
      </c>
      <c r="D1503" s="1">
        <v>42004</v>
      </c>
      <c r="E1503" s="2">
        <v>13045000000</v>
      </c>
      <c r="F1503" s="2">
        <v>5618000000</v>
      </c>
      <c r="G1503" s="2">
        <v>1843000000</v>
      </c>
      <c r="H1503" s="2">
        <v>1358000000</v>
      </c>
      <c r="I1503" t="s">
        <v>12</v>
      </c>
      <c r="J1503" t="s">
        <v>22</v>
      </c>
      <c r="K1503" t="s">
        <v>34</v>
      </c>
      <c r="L1503">
        <f t="shared" si="23"/>
        <v>0.56933691069375247</v>
      </c>
    </row>
    <row r="1504" spans="1:12" x14ac:dyDescent="0.2">
      <c r="A1504">
        <v>1565</v>
      </c>
      <c r="B1504" t="s">
        <v>521</v>
      </c>
      <c r="C1504" t="s">
        <v>17</v>
      </c>
      <c r="D1504" s="1">
        <v>42369</v>
      </c>
      <c r="E1504" s="2">
        <v>13000000000</v>
      </c>
      <c r="F1504" s="2">
        <v>5440000000</v>
      </c>
      <c r="G1504" s="2">
        <v>1748000000</v>
      </c>
      <c r="H1504" s="2">
        <v>1280000000</v>
      </c>
      <c r="I1504" t="s">
        <v>12</v>
      </c>
      <c r="J1504" t="s">
        <v>22</v>
      </c>
      <c r="K1504" t="s">
        <v>34</v>
      </c>
      <c r="L1504">
        <f t="shared" si="23"/>
        <v>0.58153846153846156</v>
      </c>
    </row>
    <row r="1505" spans="1:12" x14ac:dyDescent="0.2">
      <c r="A1505">
        <v>1566</v>
      </c>
      <c r="B1505" t="s">
        <v>522</v>
      </c>
      <c r="C1505" t="s">
        <v>11</v>
      </c>
      <c r="D1505" s="1">
        <v>41272</v>
      </c>
      <c r="E1505" s="2">
        <v>12237000000</v>
      </c>
      <c r="F1505" s="2">
        <v>10019000000</v>
      </c>
      <c r="G1505" s="2">
        <v>1165000000</v>
      </c>
      <c r="H1505" t="s">
        <v>12</v>
      </c>
      <c r="I1505" t="s">
        <v>12</v>
      </c>
      <c r="J1505" t="s">
        <v>13</v>
      </c>
      <c r="K1505" t="s">
        <v>164</v>
      </c>
      <c r="L1505">
        <f t="shared" si="23"/>
        <v>0.18125357522268526</v>
      </c>
    </row>
    <row r="1506" spans="1:12" x14ac:dyDescent="0.2">
      <c r="A1506">
        <v>1567</v>
      </c>
      <c r="B1506" t="s">
        <v>522</v>
      </c>
      <c r="C1506" t="s">
        <v>15</v>
      </c>
      <c r="D1506" s="1">
        <v>41636</v>
      </c>
      <c r="E1506" s="2">
        <v>12104000000</v>
      </c>
      <c r="F1506" s="2">
        <v>10131000000</v>
      </c>
      <c r="G1506" s="2">
        <v>1126000000</v>
      </c>
      <c r="H1506" t="s">
        <v>12</v>
      </c>
      <c r="I1506" t="s">
        <v>12</v>
      </c>
      <c r="J1506" t="s">
        <v>13</v>
      </c>
      <c r="K1506" t="s">
        <v>164</v>
      </c>
      <c r="L1506">
        <f t="shared" si="23"/>
        <v>0.16300396563119635</v>
      </c>
    </row>
    <row r="1507" spans="1:12" x14ac:dyDescent="0.2">
      <c r="A1507">
        <v>1568</v>
      </c>
      <c r="B1507" t="s">
        <v>522</v>
      </c>
      <c r="C1507" t="s">
        <v>16</v>
      </c>
      <c r="D1507" s="1">
        <v>42007</v>
      </c>
      <c r="E1507" s="2">
        <v>13878000000</v>
      </c>
      <c r="F1507" s="2">
        <v>11421000000</v>
      </c>
      <c r="G1507" s="2">
        <v>1361000000</v>
      </c>
      <c r="H1507" t="s">
        <v>12</v>
      </c>
      <c r="I1507" t="s">
        <v>12</v>
      </c>
      <c r="J1507" t="s">
        <v>13</v>
      </c>
      <c r="K1507" t="s">
        <v>164</v>
      </c>
      <c r="L1507">
        <f t="shared" si="23"/>
        <v>0.17704280155642027</v>
      </c>
    </row>
    <row r="1508" spans="1:12" x14ac:dyDescent="0.2">
      <c r="A1508">
        <v>1569</v>
      </c>
      <c r="B1508" t="s">
        <v>522</v>
      </c>
      <c r="C1508" t="s">
        <v>17</v>
      </c>
      <c r="D1508" s="1">
        <v>42371</v>
      </c>
      <c r="E1508" s="2">
        <v>13423000000</v>
      </c>
      <c r="F1508" s="2">
        <v>10979000000</v>
      </c>
      <c r="G1508" s="2">
        <v>1304000000</v>
      </c>
      <c r="H1508" t="s">
        <v>12</v>
      </c>
      <c r="I1508" t="s">
        <v>12</v>
      </c>
      <c r="J1508" t="s">
        <v>13</v>
      </c>
      <c r="K1508" t="s">
        <v>164</v>
      </c>
      <c r="L1508">
        <f t="shared" si="23"/>
        <v>0.18207554198018328</v>
      </c>
    </row>
    <row r="1509" spans="1:12" x14ac:dyDescent="0.2">
      <c r="A1509">
        <v>1570</v>
      </c>
      <c r="B1509" t="s">
        <v>523</v>
      </c>
      <c r="C1509" t="s">
        <v>11</v>
      </c>
      <c r="D1509" s="1">
        <v>41274</v>
      </c>
      <c r="E1509" s="2">
        <v>1834921000</v>
      </c>
      <c r="F1509" s="2">
        <v>955624000</v>
      </c>
      <c r="G1509" s="2">
        <v>670602000</v>
      </c>
      <c r="H1509" t="s">
        <v>12</v>
      </c>
      <c r="I1509" t="s">
        <v>12</v>
      </c>
      <c r="J1509" t="s">
        <v>19</v>
      </c>
      <c r="K1509" t="s">
        <v>289</v>
      </c>
      <c r="L1509">
        <f t="shared" si="23"/>
        <v>0.47920155690626465</v>
      </c>
    </row>
    <row r="1510" spans="1:12" x14ac:dyDescent="0.2">
      <c r="A1510">
        <v>1571</v>
      </c>
      <c r="B1510" t="s">
        <v>523</v>
      </c>
      <c r="C1510" t="s">
        <v>15</v>
      </c>
      <c r="D1510" s="1">
        <v>41639</v>
      </c>
      <c r="E1510" s="2">
        <v>2332051000</v>
      </c>
      <c r="F1510" s="2">
        <v>1195381000</v>
      </c>
      <c r="G1510" s="2">
        <v>871572000</v>
      </c>
      <c r="H1510" t="s">
        <v>12</v>
      </c>
      <c r="I1510" t="s">
        <v>12</v>
      </c>
      <c r="J1510" t="s">
        <v>19</v>
      </c>
      <c r="K1510" t="s">
        <v>289</v>
      </c>
      <c r="L1510">
        <f t="shared" si="23"/>
        <v>0.4874121535077921</v>
      </c>
    </row>
    <row r="1511" spans="1:12" x14ac:dyDescent="0.2">
      <c r="A1511">
        <v>1572</v>
      </c>
      <c r="B1511" t="s">
        <v>523</v>
      </c>
      <c r="C1511" t="s">
        <v>16</v>
      </c>
      <c r="D1511" s="1">
        <v>42004</v>
      </c>
      <c r="E1511" s="2">
        <v>3084370000</v>
      </c>
      <c r="F1511" s="2">
        <v>1572164000</v>
      </c>
      <c r="G1511" s="2">
        <v>1158251000</v>
      </c>
      <c r="H1511" t="s">
        <v>12</v>
      </c>
      <c r="I1511" t="s">
        <v>12</v>
      </c>
      <c r="J1511" t="s">
        <v>19</v>
      </c>
      <c r="K1511" t="s">
        <v>289</v>
      </c>
      <c r="L1511">
        <f t="shared" si="23"/>
        <v>0.49028034898536821</v>
      </c>
    </row>
    <row r="1512" spans="1:12" x14ac:dyDescent="0.2">
      <c r="A1512">
        <v>1573</v>
      </c>
      <c r="B1512" t="s">
        <v>523</v>
      </c>
      <c r="C1512" t="s">
        <v>17</v>
      </c>
      <c r="D1512" s="1">
        <v>42369</v>
      </c>
      <c r="E1512" s="2">
        <v>3963313000</v>
      </c>
      <c r="F1512" s="2">
        <v>2057766000</v>
      </c>
      <c r="G1512" s="2">
        <v>1497000000</v>
      </c>
      <c r="H1512" t="s">
        <v>12</v>
      </c>
      <c r="I1512" t="s">
        <v>12</v>
      </c>
      <c r="J1512" t="s">
        <v>19</v>
      </c>
      <c r="K1512" t="s">
        <v>289</v>
      </c>
      <c r="L1512">
        <f t="shared" si="23"/>
        <v>0.48079649525535828</v>
      </c>
    </row>
    <row r="1513" spans="1:12" x14ac:dyDescent="0.2">
      <c r="A1513">
        <v>1574</v>
      </c>
      <c r="B1513" t="s">
        <v>524</v>
      </c>
      <c r="C1513" t="s">
        <v>11</v>
      </c>
      <c r="D1513" s="1">
        <v>41274</v>
      </c>
      <c r="E1513" s="2">
        <v>1834921000</v>
      </c>
      <c r="F1513" s="2">
        <v>955624000</v>
      </c>
      <c r="G1513" s="2">
        <v>670602000</v>
      </c>
      <c r="H1513" t="s">
        <v>12</v>
      </c>
      <c r="I1513" t="s">
        <v>12</v>
      </c>
      <c r="J1513" t="s">
        <v>19</v>
      </c>
      <c r="K1513" t="s">
        <v>289</v>
      </c>
      <c r="L1513">
        <f t="shared" si="23"/>
        <v>0.47920155690626465</v>
      </c>
    </row>
    <row r="1514" spans="1:12" x14ac:dyDescent="0.2">
      <c r="A1514">
        <v>1575</v>
      </c>
      <c r="B1514" t="s">
        <v>524</v>
      </c>
      <c r="C1514" t="s">
        <v>15</v>
      </c>
      <c r="D1514" s="1">
        <v>41639</v>
      </c>
      <c r="E1514" s="2">
        <v>2332051000</v>
      </c>
      <c r="F1514" s="2">
        <v>1195381000</v>
      </c>
      <c r="G1514" s="2">
        <v>871572000</v>
      </c>
      <c r="H1514" t="s">
        <v>12</v>
      </c>
      <c r="I1514" t="s">
        <v>12</v>
      </c>
      <c r="J1514" t="s">
        <v>19</v>
      </c>
      <c r="K1514" t="s">
        <v>289</v>
      </c>
      <c r="L1514">
        <f t="shared" si="23"/>
        <v>0.4874121535077921</v>
      </c>
    </row>
    <row r="1515" spans="1:12" x14ac:dyDescent="0.2">
      <c r="A1515">
        <v>1576</v>
      </c>
      <c r="B1515" t="s">
        <v>524</v>
      </c>
      <c r="C1515" t="s">
        <v>16</v>
      </c>
      <c r="D1515" s="1">
        <v>42004</v>
      </c>
      <c r="E1515" s="2">
        <v>3084370000</v>
      </c>
      <c r="F1515" s="2">
        <v>1572164000</v>
      </c>
      <c r="G1515" s="2">
        <v>1158251000</v>
      </c>
      <c r="H1515" t="s">
        <v>12</v>
      </c>
      <c r="I1515" t="s">
        <v>12</v>
      </c>
      <c r="J1515" t="s">
        <v>19</v>
      </c>
      <c r="K1515" t="s">
        <v>289</v>
      </c>
      <c r="L1515">
        <f t="shared" si="23"/>
        <v>0.49028034898536821</v>
      </c>
    </row>
    <row r="1516" spans="1:12" x14ac:dyDescent="0.2">
      <c r="A1516">
        <v>1577</v>
      </c>
      <c r="B1516" t="s">
        <v>524</v>
      </c>
      <c r="C1516" t="s">
        <v>17</v>
      </c>
      <c r="D1516" s="1">
        <v>42369</v>
      </c>
      <c r="E1516" s="2">
        <v>3963313000</v>
      </c>
      <c r="F1516" s="2">
        <v>2057766000</v>
      </c>
      <c r="G1516" s="2">
        <v>1497000000</v>
      </c>
      <c r="H1516" t="s">
        <v>12</v>
      </c>
      <c r="I1516" t="s">
        <v>12</v>
      </c>
      <c r="J1516" t="s">
        <v>19</v>
      </c>
      <c r="K1516" t="s">
        <v>289</v>
      </c>
      <c r="L1516">
        <f t="shared" si="23"/>
        <v>0.48079649525535828</v>
      </c>
    </row>
    <row r="1517" spans="1:12" x14ac:dyDescent="0.2">
      <c r="A1517">
        <v>1578</v>
      </c>
      <c r="B1517" t="s">
        <v>525</v>
      </c>
      <c r="C1517" t="s">
        <v>11</v>
      </c>
      <c r="D1517" s="1">
        <v>41274</v>
      </c>
      <c r="E1517" s="2">
        <v>37152000000</v>
      </c>
      <c r="F1517" s="2">
        <v>17820000000</v>
      </c>
      <c r="G1517" s="2">
        <v>16448000000</v>
      </c>
      <c r="H1517" t="s">
        <v>12</v>
      </c>
      <c r="I1517" s="2">
        <v>1522000000</v>
      </c>
      <c r="J1517" t="s">
        <v>13</v>
      </c>
      <c r="K1517" t="s">
        <v>14</v>
      </c>
      <c r="L1517">
        <f t="shared" si="23"/>
        <v>0.52034883720930236</v>
      </c>
    </row>
    <row r="1518" spans="1:12" x14ac:dyDescent="0.2">
      <c r="A1518">
        <v>1579</v>
      </c>
      <c r="B1518" t="s">
        <v>525</v>
      </c>
      <c r="C1518" t="s">
        <v>15</v>
      </c>
      <c r="D1518" s="1">
        <v>41639</v>
      </c>
      <c r="E1518" s="2">
        <v>38279000000</v>
      </c>
      <c r="F1518" s="2">
        <v>17192000000</v>
      </c>
      <c r="G1518" s="2">
        <v>17629000000</v>
      </c>
      <c r="H1518" t="s">
        <v>12</v>
      </c>
      <c r="I1518" s="2">
        <v>1689000000</v>
      </c>
      <c r="J1518" t="s">
        <v>13</v>
      </c>
      <c r="K1518" t="s">
        <v>14</v>
      </c>
      <c r="L1518">
        <f t="shared" si="23"/>
        <v>0.5508764596776301</v>
      </c>
    </row>
    <row r="1519" spans="1:12" x14ac:dyDescent="0.2">
      <c r="A1519">
        <v>1580</v>
      </c>
      <c r="B1519" t="s">
        <v>525</v>
      </c>
      <c r="C1519" t="s">
        <v>16</v>
      </c>
      <c r="D1519" s="1">
        <v>42004</v>
      </c>
      <c r="E1519" s="2">
        <v>38901000000</v>
      </c>
      <c r="F1519" s="2">
        <v>16611000000</v>
      </c>
      <c r="G1519" s="2">
        <v>17795000000</v>
      </c>
      <c r="H1519" t="s">
        <v>12</v>
      </c>
      <c r="I1519" s="2">
        <v>1679000000</v>
      </c>
      <c r="J1519" t="s">
        <v>13</v>
      </c>
      <c r="K1519" t="s">
        <v>14</v>
      </c>
      <c r="L1519">
        <f t="shared" si="23"/>
        <v>0.57299298218554795</v>
      </c>
    </row>
    <row r="1520" spans="1:12" x14ac:dyDescent="0.2">
      <c r="A1520">
        <v>1581</v>
      </c>
      <c r="B1520" t="s">
        <v>525</v>
      </c>
      <c r="C1520" t="s">
        <v>17</v>
      </c>
      <c r="D1520" s="1">
        <v>42369</v>
      </c>
      <c r="E1520" s="2">
        <v>37864000000</v>
      </c>
      <c r="F1520" s="2">
        <v>12130000000</v>
      </c>
      <c r="G1520" s="2">
        <v>18423000000</v>
      </c>
      <c r="H1520" t="s">
        <v>12</v>
      </c>
      <c r="I1520" s="2">
        <v>1819000000</v>
      </c>
      <c r="J1520" t="s">
        <v>13</v>
      </c>
      <c r="K1520" t="s">
        <v>14</v>
      </c>
      <c r="L1520">
        <f t="shared" si="23"/>
        <v>0.67964293260088737</v>
      </c>
    </row>
    <row r="1521" spans="1:12" x14ac:dyDescent="0.2">
      <c r="A1521">
        <v>1582</v>
      </c>
      <c r="B1521" t="s">
        <v>526</v>
      </c>
      <c r="C1521" t="s">
        <v>11</v>
      </c>
      <c r="D1521" s="1">
        <v>41274</v>
      </c>
      <c r="E1521" s="2">
        <v>716612000</v>
      </c>
      <c r="F1521" s="2">
        <v>245316000</v>
      </c>
      <c r="G1521" s="2">
        <v>58005000</v>
      </c>
      <c r="H1521" t="s">
        <v>12</v>
      </c>
      <c r="I1521" s="2">
        <v>346031000</v>
      </c>
      <c r="J1521" t="s">
        <v>52</v>
      </c>
      <c r="K1521" t="s">
        <v>234</v>
      </c>
      <c r="L1521">
        <f t="shared" si="23"/>
        <v>0.65767249222731405</v>
      </c>
    </row>
    <row r="1522" spans="1:12" x14ac:dyDescent="0.2">
      <c r="A1522">
        <v>1583</v>
      </c>
      <c r="B1522" t="s">
        <v>526</v>
      </c>
      <c r="C1522" t="s">
        <v>15</v>
      </c>
      <c r="D1522" s="1">
        <v>41639</v>
      </c>
      <c r="E1522" s="2">
        <v>758926000</v>
      </c>
      <c r="F1522" s="2">
        <v>258612000</v>
      </c>
      <c r="G1522" s="2">
        <v>37121000</v>
      </c>
      <c r="H1522" t="s">
        <v>12</v>
      </c>
      <c r="I1522" s="2">
        <v>346273000</v>
      </c>
      <c r="J1522" t="s">
        <v>52</v>
      </c>
      <c r="K1522" t="s">
        <v>234</v>
      </c>
      <c r="L1522">
        <f t="shared" si="23"/>
        <v>0.6592395042467909</v>
      </c>
    </row>
    <row r="1523" spans="1:12" x14ac:dyDescent="0.2">
      <c r="A1523">
        <v>1584</v>
      </c>
      <c r="B1523" t="s">
        <v>526</v>
      </c>
      <c r="C1523" t="s">
        <v>16</v>
      </c>
      <c r="D1523" s="1">
        <v>42004</v>
      </c>
      <c r="E1523" s="2">
        <v>818046000</v>
      </c>
      <c r="F1523" s="2">
        <v>270741000</v>
      </c>
      <c r="G1523" s="2">
        <v>56612000</v>
      </c>
      <c r="H1523" t="s">
        <v>12</v>
      </c>
      <c r="I1523" s="2">
        <v>363929000</v>
      </c>
      <c r="J1523" t="s">
        <v>52</v>
      </c>
      <c r="K1523" t="s">
        <v>234</v>
      </c>
      <c r="L1523">
        <f t="shared" si="23"/>
        <v>0.66903939387271616</v>
      </c>
    </row>
    <row r="1524" spans="1:12" x14ac:dyDescent="0.2">
      <c r="A1524">
        <v>1585</v>
      </c>
      <c r="B1524" t="s">
        <v>526</v>
      </c>
      <c r="C1524" t="s">
        <v>17</v>
      </c>
      <c r="D1524" s="1">
        <v>42369</v>
      </c>
      <c r="E1524" s="2">
        <v>894638000</v>
      </c>
      <c r="F1524" s="2">
        <v>282037000</v>
      </c>
      <c r="G1524" s="2">
        <v>71733000</v>
      </c>
      <c r="H1524" t="s">
        <v>12</v>
      </c>
      <c r="I1524" s="2">
        <v>381277000</v>
      </c>
      <c r="J1524" t="s">
        <v>52</v>
      </c>
      <c r="K1524" t="s">
        <v>234</v>
      </c>
      <c r="L1524">
        <f t="shared" si="23"/>
        <v>0.68474735032493594</v>
      </c>
    </row>
    <row r="1525" spans="1:12" x14ac:dyDescent="0.2">
      <c r="A1525">
        <v>1590</v>
      </c>
      <c r="B1525" t="s">
        <v>527</v>
      </c>
      <c r="C1525" t="s">
        <v>11</v>
      </c>
      <c r="D1525" s="1">
        <v>41307</v>
      </c>
      <c r="E1525" s="2">
        <v>2220256000</v>
      </c>
      <c r="F1525" s="2">
        <v>1436582000</v>
      </c>
      <c r="G1525" s="2">
        <v>488880000</v>
      </c>
      <c r="H1525" t="s">
        <v>12</v>
      </c>
      <c r="I1525" t="s">
        <v>12</v>
      </c>
      <c r="J1525" t="s">
        <v>19</v>
      </c>
      <c r="K1525" t="s">
        <v>79</v>
      </c>
      <c r="L1525">
        <f t="shared" si="23"/>
        <v>0.35296560396638943</v>
      </c>
    </row>
    <row r="1526" spans="1:12" x14ac:dyDescent="0.2">
      <c r="A1526">
        <v>1591</v>
      </c>
      <c r="B1526" t="s">
        <v>527</v>
      </c>
      <c r="C1526" t="s">
        <v>15</v>
      </c>
      <c r="D1526" s="1">
        <v>41672</v>
      </c>
      <c r="E1526" s="2">
        <v>2670573000</v>
      </c>
      <c r="F1526" s="2">
        <v>1729325000</v>
      </c>
      <c r="G1526" s="2">
        <v>596390000</v>
      </c>
      <c r="H1526" t="s">
        <v>12</v>
      </c>
      <c r="I1526" t="s">
        <v>12</v>
      </c>
      <c r="J1526" t="s">
        <v>19</v>
      </c>
      <c r="K1526" t="s">
        <v>79</v>
      </c>
      <c r="L1526">
        <f t="shared" si="23"/>
        <v>0.35245170231257483</v>
      </c>
    </row>
    <row r="1527" spans="1:12" x14ac:dyDescent="0.2">
      <c r="A1527">
        <v>1592</v>
      </c>
      <c r="B1527" t="s">
        <v>527</v>
      </c>
      <c r="C1527" t="s">
        <v>16</v>
      </c>
      <c r="D1527" s="1">
        <v>42035</v>
      </c>
      <c r="E1527" s="2">
        <v>3241369000</v>
      </c>
      <c r="F1527" s="2">
        <v>2104582000</v>
      </c>
      <c r="G1527" s="2">
        <v>712006000</v>
      </c>
      <c r="H1527" t="s">
        <v>12</v>
      </c>
      <c r="I1527" t="s">
        <v>12</v>
      </c>
      <c r="J1527" t="s">
        <v>19</v>
      </c>
      <c r="K1527" t="s">
        <v>79</v>
      </c>
      <c r="L1527">
        <f t="shared" si="23"/>
        <v>0.35071199854135704</v>
      </c>
    </row>
    <row r="1528" spans="1:12" x14ac:dyDescent="0.2">
      <c r="A1528">
        <v>1593</v>
      </c>
      <c r="B1528" t="s">
        <v>527</v>
      </c>
      <c r="C1528" t="s">
        <v>17</v>
      </c>
      <c r="D1528" s="1">
        <v>42400</v>
      </c>
      <c r="E1528" s="2">
        <v>3924116000</v>
      </c>
      <c r="F1528" s="2">
        <v>2539783000</v>
      </c>
      <c r="G1528" s="2">
        <v>863354000</v>
      </c>
      <c r="H1528" t="s">
        <v>12</v>
      </c>
      <c r="I1528" t="s">
        <v>12</v>
      </c>
      <c r="J1528" t="s">
        <v>19</v>
      </c>
      <c r="K1528" t="s">
        <v>79</v>
      </c>
      <c r="L1528">
        <f t="shared" si="23"/>
        <v>0.35277575892251911</v>
      </c>
    </row>
    <row r="1529" spans="1:12" x14ac:dyDescent="0.2">
      <c r="A1529">
        <v>1594</v>
      </c>
      <c r="B1529" t="s">
        <v>528</v>
      </c>
      <c r="C1529" t="s">
        <v>11</v>
      </c>
      <c r="D1529" s="1">
        <v>41639</v>
      </c>
      <c r="E1529" s="2">
        <v>122489000000</v>
      </c>
      <c r="F1529" s="2">
        <v>89659000000</v>
      </c>
      <c r="G1529" t="s">
        <v>12</v>
      </c>
      <c r="H1529" t="s">
        <v>12</v>
      </c>
      <c r="I1529" s="2">
        <v>23207000000</v>
      </c>
      <c r="J1529" t="s">
        <v>25</v>
      </c>
      <c r="K1529" t="s">
        <v>81</v>
      </c>
      <c r="L1529">
        <f t="shared" si="23"/>
        <v>0.2680240674672828</v>
      </c>
    </row>
    <row r="1530" spans="1:12" x14ac:dyDescent="0.2">
      <c r="A1530">
        <v>1595</v>
      </c>
      <c r="B1530" t="s">
        <v>528</v>
      </c>
      <c r="C1530" t="s">
        <v>15</v>
      </c>
      <c r="D1530" s="1">
        <v>42004</v>
      </c>
      <c r="E1530" s="2">
        <v>130474000000</v>
      </c>
      <c r="F1530" s="2">
        <v>93633000000</v>
      </c>
      <c r="G1530" t="s">
        <v>12</v>
      </c>
      <c r="H1530" t="s">
        <v>12</v>
      </c>
      <c r="I1530" s="2">
        <v>26567000000</v>
      </c>
      <c r="J1530" t="s">
        <v>25</v>
      </c>
      <c r="K1530" t="s">
        <v>81</v>
      </c>
      <c r="L1530">
        <f t="shared" si="23"/>
        <v>0.28236276959394213</v>
      </c>
    </row>
    <row r="1531" spans="1:12" x14ac:dyDescent="0.2">
      <c r="A1531">
        <v>1596</v>
      </c>
      <c r="B1531" t="s">
        <v>528</v>
      </c>
      <c r="C1531" t="s">
        <v>16</v>
      </c>
      <c r="D1531" s="1">
        <v>42369</v>
      </c>
      <c r="E1531" s="2">
        <v>157107000000</v>
      </c>
      <c r="F1531" s="2">
        <v>103875000000</v>
      </c>
      <c r="G1531" t="s">
        <v>12</v>
      </c>
      <c r="H1531" t="s">
        <v>12</v>
      </c>
      <c r="I1531" s="2">
        <v>42211000000</v>
      </c>
      <c r="J1531" t="s">
        <v>25</v>
      </c>
      <c r="K1531" t="s">
        <v>81</v>
      </c>
      <c r="L1531">
        <f t="shared" si="23"/>
        <v>0.33882640493421678</v>
      </c>
    </row>
    <row r="1532" spans="1:12" x14ac:dyDescent="0.2">
      <c r="A1532">
        <v>1597</v>
      </c>
      <c r="B1532" t="s">
        <v>528</v>
      </c>
      <c r="C1532" t="s">
        <v>17</v>
      </c>
      <c r="D1532" s="1">
        <v>42735</v>
      </c>
      <c r="E1532" s="2">
        <v>184840000000</v>
      </c>
      <c r="F1532" s="2">
        <v>117038000000</v>
      </c>
      <c r="G1532" t="s">
        <v>12</v>
      </c>
      <c r="H1532" t="s">
        <v>12</v>
      </c>
      <c r="I1532" s="2">
        <v>54872000000</v>
      </c>
      <c r="J1532" t="s">
        <v>25</v>
      </c>
      <c r="K1532" t="s">
        <v>81</v>
      </c>
      <c r="L1532">
        <f t="shared" si="23"/>
        <v>0.36681454230685995</v>
      </c>
    </row>
    <row r="1533" spans="1:12" x14ac:dyDescent="0.2">
      <c r="A1533">
        <v>1598</v>
      </c>
      <c r="B1533" t="s">
        <v>529</v>
      </c>
      <c r="C1533" t="s">
        <v>11</v>
      </c>
      <c r="D1533" s="1">
        <v>41274</v>
      </c>
      <c r="E1533" s="2">
        <v>10515400000</v>
      </c>
      <c r="F1533" s="2">
        <v>7172100000</v>
      </c>
      <c r="G1533" s="2">
        <v>786800000</v>
      </c>
      <c r="H1533" t="s">
        <v>12</v>
      </c>
      <c r="I1533" s="2">
        <v>1161600000</v>
      </c>
      <c r="J1533" t="s">
        <v>47</v>
      </c>
      <c r="K1533" t="s">
        <v>379</v>
      </c>
      <c r="L1533">
        <f t="shared" si="23"/>
        <v>0.31794320710576873</v>
      </c>
    </row>
    <row r="1534" spans="1:12" x14ac:dyDescent="0.2">
      <c r="A1534">
        <v>1599</v>
      </c>
      <c r="B1534" t="s">
        <v>529</v>
      </c>
      <c r="C1534" t="s">
        <v>15</v>
      </c>
      <c r="D1534" s="1">
        <v>41639</v>
      </c>
      <c r="E1534" s="2">
        <v>10368600000</v>
      </c>
      <c r="F1534" s="2">
        <v>7038400000</v>
      </c>
      <c r="G1534" s="2">
        <v>790400000</v>
      </c>
      <c r="H1534" t="s">
        <v>12</v>
      </c>
      <c r="I1534" s="2">
        <v>1170400000</v>
      </c>
      <c r="J1534" t="s">
        <v>47</v>
      </c>
      <c r="K1534" t="s">
        <v>379</v>
      </c>
      <c r="L1534">
        <f t="shared" si="23"/>
        <v>0.32118125880060955</v>
      </c>
    </row>
    <row r="1535" spans="1:12" x14ac:dyDescent="0.2">
      <c r="A1535">
        <v>1600</v>
      </c>
      <c r="B1535" t="s">
        <v>529</v>
      </c>
      <c r="C1535" t="s">
        <v>16</v>
      </c>
      <c r="D1535" s="1">
        <v>42004</v>
      </c>
      <c r="E1535" s="2">
        <v>10524500000</v>
      </c>
      <c r="F1535" s="2">
        <v>7722100000</v>
      </c>
      <c r="G1535" s="2">
        <v>820900000</v>
      </c>
      <c r="H1535" t="s">
        <v>12</v>
      </c>
      <c r="I1535" s="2">
        <v>1272000000</v>
      </c>
      <c r="J1535" t="s">
        <v>47</v>
      </c>
      <c r="K1535" t="s">
        <v>379</v>
      </c>
      <c r="L1535">
        <f t="shared" si="23"/>
        <v>0.26627393225331375</v>
      </c>
    </row>
    <row r="1536" spans="1:12" x14ac:dyDescent="0.2">
      <c r="A1536">
        <v>1601</v>
      </c>
      <c r="B1536" t="s">
        <v>529</v>
      </c>
      <c r="C1536" t="s">
        <v>17</v>
      </c>
      <c r="D1536" s="1">
        <v>42369</v>
      </c>
      <c r="E1536" s="2">
        <v>10731300000</v>
      </c>
      <c r="F1536" s="2">
        <v>7209400000</v>
      </c>
      <c r="G1536" s="2">
        <v>835100000</v>
      </c>
      <c r="H1536" t="s">
        <v>12</v>
      </c>
      <c r="I1536" s="2">
        <v>1295700000</v>
      </c>
      <c r="J1536" t="s">
        <v>47</v>
      </c>
      <c r="K1536" t="s">
        <v>379</v>
      </c>
      <c r="L1536">
        <f t="shared" si="23"/>
        <v>0.32818950173790684</v>
      </c>
    </row>
    <row r="1537" spans="1:12" x14ac:dyDescent="0.2">
      <c r="A1537">
        <v>1602</v>
      </c>
      <c r="B1537" t="s">
        <v>530</v>
      </c>
      <c r="C1537" t="s">
        <v>11</v>
      </c>
      <c r="D1537" s="1">
        <v>41639</v>
      </c>
      <c r="E1537" s="2">
        <v>21963000000</v>
      </c>
      <c r="F1537" s="2">
        <v>5849000000</v>
      </c>
      <c r="G1537" s="2">
        <v>6891000000</v>
      </c>
      <c r="H1537" t="s">
        <v>12</v>
      </c>
      <c r="I1537" s="2">
        <v>1777000000</v>
      </c>
      <c r="J1537" t="s">
        <v>13</v>
      </c>
      <c r="K1537" t="s">
        <v>178</v>
      </c>
      <c r="L1537">
        <f t="shared" si="23"/>
        <v>0.73368847607339616</v>
      </c>
    </row>
    <row r="1538" spans="1:12" x14ac:dyDescent="0.2">
      <c r="A1538">
        <v>1603</v>
      </c>
      <c r="B1538" t="s">
        <v>530</v>
      </c>
      <c r="C1538" t="s">
        <v>15</v>
      </c>
      <c r="D1538" s="1">
        <v>42004</v>
      </c>
      <c r="E1538" s="2">
        <v>23988000000</v>
      </c>
      <c r="F1538" s="2">
        <v>6097000000</v>
      </c>
      <c r="G1538" s="2">
        <v>7234000000</v>
      </c>
      <c r="H1538" t="s">
        <v>12</v>
      </c>
      <c r="I1538" s="2">
        <v>1904000000</v>
      </c>
      <c r="J1538" t="s">
        <v>13</v>
      </c>
      <c r="K1538" t="s">
        <v>178</v>
      </c>
      <c r="L1538">
        <f t="shared" si="23"/>
        <v>0.74583124895781228</v>
      </c>
    </row>
    <row r="1539" spans="1:12" x14ac:dyDescent="0.2">
      <c r="A1539">
        <v>1604</v>
      </c>
      <c r="B1539" t="s">
        <v>530</v>
      </c>
      <c r="C1539" t="s">
        <v>16</v>
      </c>
      <c r="D1539" s="1">
        <v>42369</v>
      </c>
      <c r="E1539" s="2">
        <v>21813000000</v>
      </c>
      <c r="F1539" s="2">
        <v>4434000000</v>
      </c>
      <c r="G1539" s="2">
        <v>7315000000</v>
      </c>
      <c r="H1539" t="s">
        <v>12</v>
      </c>
      <c r="I1539" s="2">
        <v>2012000000</v>
      </c>
      <c r="J1539" t="s">
        <v>13</v>
      </c>
      <c r="K1539" t="s">
        <v>178</v>
      </c>
      <c r="L1539">
        <f t="shared" ref="L1539:L1602" si="24">1-F1539/E1539</f>
        <v>0.7967267225966167</v>
      </c>
    </row>
    <row r="1540" spans="1:12" x14ac:dyDescent="0.2">
      <c r="A1540">
        <v>1605</v>
      </c>
      <c r="B1540" t="s">
        <v>530</v>
      </c>
      <c r="C1540" t="s">
        <v>17</v>
      </c>
      <c r="D1540" s="1">
        <v>42735</v>
      </c>
      <c r="E1540" s="2">
        <v>19941000000</v>
      </c>
      <c r="F1540" s="2">
        <v>3747000000</v>
      </c>
      <c r="G1540" s="2">
        <v>6884000000</v>
      </c>
      <c r="H1540" t="s">
        <v>12</v>
      </c>
      <c r="I1540" s="2">
        <v>2038000000</v>
      </c>
      <c r="J1540" t="s">
        <v>13</v>
      </c>
      <c r="K1540" t="s">
        <v>178</v>
      </c>
      <c r="L1540">
        <f t="shared" si="24"/>
        <v>0.81209568226267492</v>
      </c>
    </row>
    <row r="1541" spans="1:12" x14ac:dyDescent="0.2">
      <c r="A1541">
        <v>1606</v>
      </c>
      <c r="B1541" t="s">
        <v>531</v>
      </c>
      <c r="C1541" t="s">
        <v>11</v>
      </c>
      <c r="D1541" s="1">
        <v>41274</v>
      </c>
      <c r="E1541" s="2">
        <v>54127000000</v>
      </c>
      <c r="F1541" s="2">
        <v>13574000000</v>
      </c>
      <c r="G1541" s="2">
        <v>37352000000</v>
      </c>
      <c r="H1541" t="s">
        <v>12</v>
      </c>
      <c r="I1541" s="2">
        <v>1858000000</v>
      </c>
      <c r="J1541" t="s">
        <v>13</v>
      </c>
      <c r="K1541" t="s">
        <v>146</v>
      </c>
      <c r="L1541">
        <f t="shared" si="24"/>
        <v>0.74921942838139932</v>
      </c>
    </row>
    <row r="1542" spans="1:12" x14ac:dyDescent="0.2">
      <c r="A1542">
        <v>1607</v>
      </c>
      <c r="B1542" t="s">
        <v>531</v>
      </c>
      <c r="C1542" t="s">
        <v>15</v>
      </c>
      <c r="D1542" s="1">
        <v>41639</v>
      </c>
      <c r="E1542" s="2">
        <v>55438000000</v>
      </c>
      <c r="F1542" s="2">
        <v>13703000000</v>
      </c>
      <c r="G1542" s="2">
        <v>32834000000</v>
      </c>
      <c r="H1542" t="s">
        <v>12</v>
      </c>
      <c r="I1542" s="2">
        <v>1867000000</v>
      </c>
      <c r="J1542" t="s">
        <v>13</v>
      </c>
      <c r="K1542" t="s">
        <v>146</v>
      </c>
      <c r="L1542">
        <f t="shared" si="24"/>
        <v>0.7528229734117392</v>
      </c>
    </row>
    <row r="1543" spans="1:12" x14ac:dyDescent="0.2">
      <c r="A1543">
        <v>1608</v>
      </c>
      <c r="B1543" t="s">
        <v>531</v>
      </c>
      <c r="C1543" t="s">
        <v>16</v>
      </c>
      <c r="D1543" s="1">
        <v>42004</v>
      </c>
      <c r="E1543" s="2">
        <v>58232000000</v>
      </c>
      <c r="F1543" s="2">
        <v>14758000000</v>
      </c>
      <c r="G1543" s="2">
        <v>36583000000</v>
      </c>
      <c r="H1543" t="s">
        <v>12</v>
      </c>
      <c r="I1543" s="2">
        <v>1923000000</v>
      </c>
      <c r="J1543" t="s">
        <v>13</v>
      </c>
      <c r="K1543" t="s">
        <v>146</v>
      </c>
      <c r="L1543">
        <f t="shared" si="24"/>
        <v>0.74656546228877585</v>
      </c>
    </row>
    <row r="1544" spans="1:12" x14ac:dyDescent="0.2">
      <c r="A1544">
        <v>1609</v>
      </c>
      <c r="B1544" t="s">
        <v>531</v>
      </c>
      <c r="C1544" t="s">
        <v>17</v>
      </c>
      <c r="D1544" s="1">
        <v>42369</v>
      </c>
      <c r="E1544" s="2">
        <v>58363000000</v>
      </c>
      <c r="F1544" s="2">
        <v>12947000000</v>
      </c>
      <c r="G1544" s="2">
        <v>35664000000</v>
      </c>
      <c r="H1544" t="s">
        <v>12</v>
      </c>
      <c r="I1544" s="2">
        <v>2084000000</v>
      </c>
      <c r="J1544" t="s">
        <v>13</v>
      </c>
      <c r="K1544" t="s">
        <v>146</v>
      </c>
      <c r="L1544">
        <f t="shared" si="24"/>
        <v>0.77816424789678396</v>
      </c>
    </row>
    <row r="1545" spans="1:12" x14ac:dyDescent="0.2">
      <c r="A1545">
        <v>1610</v>
      </c>
      <c r="B1545" t="s">
        <v>532</v>
      </c>
      <c r="C1545" t="s">
        <v>11</v>
      </c>
      <c r="D1545" s="1">
        <v>41305</v>
      </c>
      <c r="E1545" s="2">
        <v>2794925000</v>
      </c>
      <c r="F1545" s="2">
        <v>1763394000</v>
      </c>
      <c r="G1545" s="2">
        <v>657246000</v>
      </c>
      <c r="H1545" t="s">
        <v>12</v>
      </c>
      <c r="I1545" t="s">
        <v>12</v>
      </c>
      <c r="J1545" t="s">
        <v>19</v>
      </c>
      <c r="K1545" t="s">
        <v>257</v>
      </c>
      <c r="L1545">
        <f t="shared" si="24"/>
        <v>0.36907287315402026</v>
      </c>
    </row>
    <row r="1546" spans="1:12" x14ac:dyDescent="0.2">
      <c r="A1546">
        <v>1611</v>
      </c>
      <c r="B1546" t="s">
        <v>532</v>
      </c>
      <c r="C1546" t="s">
        <v>15</v>
      </c>
      <c r="D1546" s="1">
        <v>41670</v>
      </c>
      <c r="E1546" s="2">
        <v>3086608000</v>
      </c>
      <c r="F1546" s="2">
        <v>1925266000</v>
      </c>
      <c r="G1546" s="2">
        <v>734511000</v>
      </c>
      <c r="H1546" t="s">
        <v>12</v>
      </c>
      <c r="I1546" t="s">
        <v>12</v>
      </c>
      <c r="J1546" t="s">
        <v>19</v>
      </c>
      <c r="K1546" t="s">
        <v>257</v>
      </c>
      <c r="L1546">
        <f t="shared" si="24"/>
        <v>0.37625185964657648</v>
      </c>
    </row>
    <row r="1547" spans="1:12" x14ac:dyDescent="0.2">
      <c r="A1547">
        <v>1612</v>
      </c>
      <c r="B1547" t="s">
        <v>532</v>
      </c>
      <c r="C1547" t="s">
        <v>16</v>
      </c>
      <c r="D1547" s="1">
        <v>42035</v>
      </c>
      <c r="E1547" s="2">
        <v>3323077000</v>
      </c>
      <c r="F1547" s="2">
        <v>2148147000</v>
      </c>
      <c r="G1547" s="2">
        <v>809545000</v>
      </c>
      <c r="H1547" t="s">
        <v>12</v>
      </c>
      <c r="I1547" t="s">
        <v>12</v>
      </c>
      <c r="J1547" t="s">
        <v>19</v>
      </c>
      <c r="K1547" t="s">
        <v>257</v>
      </c>
      <c r="L1547">
        <f t="shared" si="24"/>
        <v>0.35356688996372942</v>
      </c>
    </row>
    <row r="1548" spans="1:12" x14ac:dyDescent="0.2">
      <c r="A1548">
        <v>1613</v>
      </c>
      <c r="B1548" t="s">
        <v>532</v>
      </c>
      <c r="C1548" t="s">
        <v>17</v>
      </c>
      <c r="D1548" s="1">
        <v>42400</v>
      </c>
      <c r="E1548" s="2">
        <v>3445134000</v>
      </c>
      <c r="F1548" s="2">
        <v>2243232000</v>
      </c>
      <c r="G1548" s="2">
        <v>848323000</v>
      </c>
      <c r="H1548" t="s">
        <v>12</v>
      </c>
      <c r="I1548" t="s">
        <v>12</v>
      </c>
      <c r="J1548" t="s">
        <v>19</v>
      </c>
      <c r="K1548" t="s">
        <v>257</v>
      </c>
      <c r="L1548">
        <f t="shared" si="24"/>
        <v>0.34886944890967952</v>
      </c>
    </row>
    <row r="1549" spans="1:12" x14ac:dyDescent="0.2">
      <c r="A1549">
        <v>1614</v>
      </c>
      <c r="B1549" t="s">
        <v>533</v>
      </c>
      <c r="C1549" t="s">
        <v>11</v>
      </c>
      <c r="D1549" s="1">
        <v>41486</v>
      </c>
      <c r="E1549" s="2">
        <v>2436948000</v>
      </c>
      <c r="F1549" s="2">
        <v>1589821000</v>
      </c>
      <c r="G1549" s="2">
        <v>441168000</v>
      </c>
      <c r="H1549" s="2">
        <v>62630000</v>
      </c>
      <c r="I1549" t="s">
        <v>12</v>
      </c>
      <c r="J1549" t="s">
        <v>47</v>
      </c>
      <c r="K1549" t="s">
        <v>105</v>
      </c>
      <c r="L1549">
        <f t="shared" si="24"/>
        <v>0.34761800415930089</v>
      </c>
    </row>
    <row r="1550" spans="1:12" x14ac:dyDescent="0.2">
      <c r="A1550">
        <v>1615</v>
      </c>
      <c r="B1550" t="s">
        <v>533</v>
      </c>
      <c r="C1550" t="s">
        <v>15</v>
      </c>
      <c r="D1550" s="1">
        <v>41851</v>
      </c>
      <c r="E1550" s="2">
        <v>2473500000</v>
      </c>
      <c r="F1550" s="2">
        <v>1595700000</v>
      </c>
      <c r="G1550" s="2">
        <v>460300000</v>
      </c>
      <c r="H1550" s="2">
        <v>61800000</v>
      </c>
      <c r="I1550" t="s">
        <v>12</v>
      </c>
      <c r="J1550" t="s">
        <v>47</v>
      </c>
      <c r="K1550" t="s">
        <v>105</v>
      </c>
      <c r="L1550">
        <f t="shared" si="24"/>
        <v>0.35488174651303817</v>
      </c>
    </row>
    <row r="1551" spans="1:12" x14ac:dyDescent="0.2">
      <c r="A1551">
        <v>1616</v>
      </c>
      <c r="B1551" t="s">
        <v>533</v>
      </c>
      <c r="C1551" t="s">
        <v>16</v>
      </c>
      <c r="D1551" s="1">
        <v>42216</v>
      </c>
      <c r="E1551" s="2">
        <v>2371200000</v>
      </c>
      <c r="F1551" s="2">
        <v>1562600000</v>
      </c>
      <c r="G1551" s="2">
        <v>460100000</v>
      </c>
      <c r="H1551" s="2">
        <v>60200000</v>
      </c>
      <c r="I1551" t="s">
        <v>12</v>
      </c>
      <c r="J1551" t="s">
        <v>47</v>
      </c>
      <c r="K1551" t="s">
        <v>105</v>
      </c>
      <c r="L1551">
        <f t="shared" si="24"/>
        <v>0.34100877192982459</v>
      </c>
    </row>
    <row r="1552" spans="1:12" x14ac:dyDescent="0.2">
      <c r="A1552">
        <v>1617</v>
      </c>
      <c r="B1552" t="s">
        <v>533</v>
      </c>
      <c r="C1552" t="s">
        <v>17</v>
      </c>
      <c r="D1552" s="1">
        <v>42582</v>
      </c>
      <c r="E1552" s="2">
        <v>2220300000</v>
      </c>
      <c r="F1552" s="2">
        <v>1465500000</v>
      </c>
      <c r="G1552" s="2">
        <v>425100000</v>
      </c>
      <c r="H1552" s="2">
        <v>55500000</v>
      </c>
      <c r="I1552" t="s">
        <v>12</v>
      </c>
      <c r="J1552" t="s">
        <v>47</v>
      </c>
      <c r="K1552" t="s">
        <v>105</v>
      </c>
      <c r="L1552">
        <f t="shared" si="24"/>
        <v>0.33995406026212671</v>
      </c>
    </row>
    <row r="1553" spans="1:12" x14ac:dyDescent="0.2">
      <c r="A1553">
        <v>1618</v>
      </c>
      <c r="B1553" t="s">
        <v>534</v>
      </c>
      <c r="C1553" t="s">
        <v>11</v>
      </c>
      <c r="D1553" s="1">
        <v>41639</v>
      </c>
      <c r="E1553" s="2">
        <v>56600000000</v>
      </c>
      <c r="F1553" s="2">
        <v>40468000000</v>
      </c>
      <c r="G1553" s="2">
        <v>5241000000</v>
      </c>
      <c r="H1553" s="2">
        <v>2342000000</v>
      </c>
      <c r="I1553" t="s">
        <v>12</v>
      </c>
      <c r="J1553" t="s">
        <v>13</v>
      </c>
      <c r="K1553" t="s">
        <v>164</v>
      </c>
      <c r="L1553">
        <f t="shared" si="24"/>
        <v>0.28501766784452298</v>
      </c>
    </row>
    <row r="1554" spans="1:12" x14ac:dyDescent="0.2">
      <c r="A1554">
        <v>1619</v>
      </c>
      <c r="B1554" t="s">
        <v>534</v>
      </c>
      <c r="C1554" t="s">
        <v>15</v>
      </c>
      <c r="D1554" s="1">
        <v>42004</v>
      </c>
      <c r="E1554" s="2">
        <v>57900000000</v>
      </c>
      <c r="F1554" s="2">
        <v>40898000000</v>
      </c>
      <c r="G1554" s="2">
        <v>4934000000</v>
      </c>
      <c r="H1554" s="2">
        <v>2475000000</v>
      </c>
      <c r="I1554" t="s">
        <v>12</v>
      </c>
      <c r="J1554" t="s">
        <v>13</v>
      </c>
      <c r="K1554" t="s">
        <v>164</v>
      </c>
      <c r="L1554">
        <f t="shared" si="24"/>
        <v>0.29364421416234887</v>
      </c>
    </row>
    <row r="1555" spans="1:12" x14ac:dyDescent="0.2">
      <c r="A1555">
        <v>1620</v>
      </c>
      <c r="B1555" t="s">
        <v>534</v>
      </c>
      <c r="C1555" t="s">
        <v>16</v>
      </c>
      <c r="D1555" s="1">
        <v>42369</v>
      </c>
      <c r="E1555" s="2">
        <v>56098000000</v>
      </c>
      <c r="F1555" s="2">
        <v>40431000000</v>
      </c>
      <c r="G1555" s="2">
        <v>6097000000</v>
      </c>
      <c r="H1555" s="2">
        <v>2279000000</v>
      </c>
      <c r="I1555" t="s">
        <v>12</v>
      </c>
      <c r="J1555" t="s">
        <v>13</v>
      </c>
      <c r="K1555" t="s">
        <v>164</v>
      </c>
      <c r="L1555">
        <f t="shared" si="24"/>
        <v>0.27927911868515809</v>
      </c>
    </row>
    <row r="1556" spans="1:12" x14ac:dyDescent="0.2">
      <c r="A1556">
        <v>1621</v>
      </c>
      <c r="B1556" t="s">
        <v>534</v>
      </c>
      <c r="C1556" t="s">
        <v>17</v>
      </c>
      <c r="D1556" s="1">
        <v>42735</v>
      </c>
      <c r="E1556" s="2">
        <v>57244000000</v>
      </c>
      <c r="F1556" s="2">
        <v>41460000000</v>
      </c>
      <c r="G1556" s="2">
        <v>5275000000</v>
      </c>
      <c r="H1556" s="2">
        <v>2337000000</v>
      </c>
      <c r="I1556" t="s">
        <v>12</v>
      </c>
      <c r="J1556" t="s">
        <v>13</v>
      </c>
      <c r="K1556" t="s">
        <v>164</v>
      </c>
      <c r="L1556">
        <f t="shared" si="24"/>
        <v>0.27573195444064003</v>
      </c>
    </row>
    <row r="1557" spans="1:12" x14ac:dyDescent="0.2">
      <c r="A1557">
        <v>1622</v>
      </c>
      <c r="B1557" t="s">
        <v>535</v>
      </c>
      <c r="C1557" t="s">
        <v>11</v>
      </c>
      <c r="D1557" s="1">
        <v>41547</v>
      </c>
      <c r="E1557" s="2">
        <v>11778000000</v>
      </c>
      <c r="F1557" s="2">
        <v>1932000000</v>
      </c>
      <c r="G1557" s="2">
        <v>2207000000</v>
      </c>
      <c r="H1557" t="s">
        <v>12</v>
      </c>
      <c r="I1557" s="2">
        <v>397000000</v>
      </c>
      <c r="J1557" t="s">
        <v>22</v>
      </c>
      <c r="K1557" t="s">
        <v>57</v>
      </c>
      <c r="L1557">
        <f t="shared" si="24"/>
        <v>0.83596535914416714</v>
      </c>
    </row>
    <row r="1558" spans="1:12" x14ac:dyDescent="0.2">
      <c r="A1558">
        <v>1623</v>
      </c>
      <c r="B1558" t="s">
        <v>535</v>
      </c>
      <c r="C1558" t="s">
        <v>15</v>
      </c>
      <c r="D1558" s="1">
        <v>41912</v>
      </c>
      <c r="E1558" s="2">
        <v>12702000000</v>
      </c>
      <c r="F1558" s="2">
        <v>1875000000</v>
      </c>
      <c r="G1558" s="2">
        <v>2242000000</v>
      </c>
      <c r="H1558" t="s">
        <v>12</v>
      </c>
      <c r="I1558" s="2">
        <v>435000000</v>
      </c>
      <c r="J1558" t="s">
        <v>22</v>
      </c>
      <c r="K1558" t="s">
        <v>57</v>
      </c>
      <c r="L1558">
        <f t="shared" si="24"/>
        <v>0.85238545111006148</v>
      </c>
    </row>
    <row r="1559" spans="1:12" x14ac:dyDescent="0.2">
      <c r="A1559">
        <v>1624</v>
      </c>
      <c r="B1559" t="s">
        <v>535</v>
      </c>
      <c r="C1559" t="s">
        <v>16</v>
      </c>
      <c r="D1559" s="1">
        <v>42277</v>
      </c>
      <c r="E1559" s="2">
        <v>13880000000</v>
      </c>
      <c r="F1559" s="2">
        <v>2079000000</v>
      </c>
      <c r="G1559" s="2">
        <v>2229000000</v>
      </c>
      <c r="H1559" t="s">
        <v>12</v>
      </c>
      <c r="I1559" s="2">
        <v>494000000</v>
      </c>
      <c r="J1559" t="s">
        <v>22</v>
      </c>
      <c r="K1559" t="s">
        <v>57</v>
      </c>
      <c r="L1559">
        <f t="shared" si="24"/>
        <v>0.85021613832853027</v>
      </c>
    </row>
    <row r="1560" spans="1:12" x14ac:dyDescent="0.2">
      <c r="A1560">
        <v>1625</v>
      </c>
      <c r="B1560" t="s">
        <v>535</v>
      </c>
      <c r="C1560" t="s">
        <v>17</v>
      </c>
      <c r="D1560" s="1">
        <v>42643</v>
      </c>
      <c r="E1560" s="2">
        <v>15082000000</v>
      </c>
      <c r="F1560" s="2">
        <v>2226000000</v>
      </c>
      <c r="G1560" s="2">
        <v>4469000000</v>
      </c>
      <c r="H1560" t="s">
        <v>12</v>
      </c>
      <c r="I1560" s="2">
        <v>502000000</v>
      </c>
      <c r="J1560" t="s">
        <v>22</v>
      </c>
      <c r="K1560" t="s">
        <v>57</v>
      </c>
      <c r="L1560">
        <f t="shared" si="24"/>
        <v>0.85240684259382049</v>
      </c>
    </row>
    <row r="1561" spans="1:12" x14ac:dyDescent="0.2">
      <c r="A1561">
        <v>1626</v>
      </c>
      <c r="B1561" t="s">
        <v>536</v>
      </c>
      <c r="C1561" t="s">
        <v>11</v>
      </c>
      <c r="D1561" s="1">
        <v>41544</v>
      </c>
      <c r="E1561" s="2">
        <v>2942897000</v>
      </c>
      <c r="F1561" s="2">
        <v>1693210000</v>
      </c>
      <c r="G1561" s="2">
        <v>432589000</v>
      </c>
      <c r="H1561" s="2">
        <v>208208000</v>
      </c>
      <c r="I1561" t="s">
        <v>12</v>
      </c>
      <c r="J1561" t="s">
        <v>25</v>
      </c>
      <c r="K1561" t="s">
        <v>30</v>
      </c>
      <c r="L1561">
        <f t="shared" si="24"/>
        <v>0.42464517106782873</v>
      </c>
    </row>
    <row r="1562" spans="1:12" x14ac:dyDescent="0.2">
      <c r="A1562">
        <v>1627</v>
      </c>
      <c r="B1562" t="s">
        <v>536</v>
      </c>
      <c r="C1562" t="s">
        <v>15</v>
      </c>
      <c r="D1562" s="1">
        <v>41908</v>
      </c>
      <c r="E1562" s="2">
        <v>3049800000</v>
      </c>
      <c r="F1562" s="2">
        <v>1748100000</v>
      </c>
      <c r="G1562" s="2">
        <v>470600000</v>
      </c>
      <c r="H1562" s="2">
        <v>234800000</v>
      </c>
      <c r="I1562" t="s">
        <v>12</v>
      </c>
      <c r="J1562" t="s">
        <v>25</v>
      </c>
      <c r="K1562" t="s">
        <v>30</v>
      </c>
      <c r="L1562">
        <f t="shared" si="24"/>
        <v>0.42681487310643318</v>
      </c>
    </row>
    <row r="1563" spans="1:12" x14ac:dyDescent="0.2">
      <c r="A1563">
        <v>1628</v>
      </c>
      <c r="B1563" t="s">
        <v>536</v>
      </c>
      <c r="C1563" t="s">
        <v>16</v>
      </c>
      <c r="D1563" s="1">
        <v>42279</v>
      </c>
      <c r="E1563" s="2">
        <v>3099100000</v>
      </c>
      <c r="F1563" s="2">
        <v>1816400000</v>
      </c>
      <c r="G1563" s="2">
        <v>488500000</v>
      </c>
      <c r="H1563" s="2">
        <v>245200000</v>
      </c>
      <c r="I1563" t="s">
        <v>12</v>
      </c>
      <c r="J1563" t="s">
        <v>25</v>
      </c>
      <c r="K1563" t="s">
        <v>30</v>
      </c>
      <c r="L1563">
        <f t="shared" si="24"/>
        <v>0.41389435642605921</v>
      </c>
    </row>
    <row r="1564" spans="1:12" x14ac:dyDescent="0.2">
      <c r="A1564">
        <v>1629</v>
      </c>
      <c r="B1564" t="s">
        <v>536</v>
      </c>
      <c r="C1564" t="s">
        <v>17</v>
      </c>
      <c r="D1564" s="1">
        <v>42643</v>
      </c>
      <c r="E1564" s="2">
        <v>3217800000</v>
      </c>
      <c r="F1564" s="2">
        <v>1856500000</v>
      </c>
      <c r="G1564" s="2">
        <v>557000000</v>
      </c>
      <c r="H1564" s="2">
        <v>253500000</v>
      </c>
      <c r="I1564" t="s">
        <v>12</v>
      </c>
      <c r="J1564" t="s">
        <v>25</v>
      </c>
      <c r="K1564" t="s">
        <v>30</v>
      </c>
      <c r="L1564">
        <f t="shared" si="24"/>
        <v>0.42305301758965752</v>
      </c>
    </row>
    <row r="1565" spans="1:12" x14ac:dyDescent="0.2">
      <c r="A1565">
        <v>1630</v>
      </c>
      <c r="B1565" t="s">
        <v>537</v>
      </c>
      <c r="C1565" t="s">
        <v>11</v>
      </c>
      <c r="D1565" s="1">
        <v>41274</v>
      </c>
      <c r="E1565" s="2">
        <v>10879855000</v>
      </c>
      <c r="F1565" s="2">
        <v>5817880000</v>
      </c>
      <c r="G1565" s="2">
        <v>3596708000</v>
      </c>
      <c r="H1565" t="s">
        <v>12</v>
      </c>
      <c r="I1565" t="s">
        <v>12</v>
      </c>
      <c r="J1565" t="s">
        <v>19</v>
      </c>
      <c r="K1565" t="s">
        <v>289</v>
      </c>
      <c r="L1565">
        <f t="shared" si="24"/>
        <v>0.46526125577960364</v>
      </c>
    </row>
    <row r="1566" spans="1:12" x14ac:dyDescent="0.2">
      <c r="A1566">
        <v>1631</v>
      </c>
      <c r="B1566" t="s">
        <v>537</v>
      </c>
      <c r="C1566" t="s">
        <v>15</v>
      </c>
      <c r="D1566" s="1">
        <v>41639</v>
      </c>
      <c r="E1566" s="2">
        <v>11419648000</v>
      </c>
      <c r="F1566" s="2">
        <v>5931469000</v>
      </c>
      <c r="G1566" s="2">
        <v>3841032000</v>
      </c>
      <c r="H1566" t="s">
        <v>12</v>
      </c>
      <c r="I1566" t="s">
        <v>12</v>
      </c>
      <c r="J1566" t="s">
        <v>19</v>
      </c>
      <c r="K1566" t="s">
        <v>289</v>
      </c>
      <c r="L1566">
        <f t="shared" si="24"/>
        <v>0.48059090788087344</v>
      </c>
    </row>
    <row r="1567" spans="1:12" x14ac:dyDescent="0.2">
      <c r="A1567">
        <v>1632</v>
      </c>
      <c r="B1567" t="s">
        <v>537</v>
      </c>
      <c r="C1567" t="s">
        <v>16</v>
      </c>
      <c r="D1567" s="1">
        <v>42007</v>
      </c>
      <c r="E1567" s="2">
        <v>12282161000</v>
      </c>
      <c r="F1567" s="2">
        <v>6288190000</v>
      </c>
      <c r="G1567" s="2">
        <v>4159885000</v>
      </c>
      <c r="H1567" t="s">
        <v>12</v>
      </c>
      <c r="I1567" t="s">
        <v>12</v>
      </c>
      <c r="J1567" t="s">
        <v>19</v>
      </c>
      <c r="K1567" t="s">
        <v>289</v>
      </c>
      <c r="L1567">
        <f t="shared" si="24"/>
        <v>0.48802250678850412</v>
      </c>
    </row>
    <row r="1568" spans="1:12" x14ac:dyDescent="0.2">
      <c r="A1568">
        <v>1633</v>
      </c>
      <c r="B1568" t="s">
        <v>537</v>
      </c>
      <c r="C1568" t="s">
        <v>17</v>
      </c>
      <c r="D1568" s="1">
        <v>42371</v>
      </c>
      <c r="E1568" s="2">
        <v>12376744000</v>
      </c>
      <c r="F1568" s="2">
        <v>6393800000</v>
      </c>
      <c r="G1568" s="2">
        <v>4178386000</v>
      </c>
      <c r="H1568" t="s">
        <v>12</v>
      </c>
      <c r="I1568" t="s">
        <v>12</v>
      </c>
      <c r="J1568" t="s">
        <v>19</v>
      </c>
      <c r="K1568" t="s">
        <v>289</v>
      </c>
      <c r="L1568">
        <f t="shared" si="24"/>
        <v>0.48340209670653278</v>
      </c>
    </row>
    <row r="1569" spans="1:12" x14ac:dyDescent="0.2">
      <c r="A1569">
        <v>1634</v>
      </c>
      <c r="B1569" t="s">
        <v>538</v>
      </c>
      <c r="C1569" t="s">
        <v>11</v>
      </c>
      <c r="D1569" s="1">
        <v>41547</v>
      </c>
      <c r="E1569" s="2">
        <v>13794000000</v>
      </c>
      <c r="F1569" s="2">
        <v>6799000000</v>
      </c>
      <c r="G1569" s="2">
        <v>2829000000</v>
      </c>
      <c r="H1569" t="s">
        <v>12</v>
      </c>
      <c r="I1569" s="2">
        <v>237000000</v>
      </c>
      <c r="J1569" t="s">
        <v>19</v>
      </c>
      <c r="K1569" t="s">
        <v>204</v>
      </c>
      <c r="L1569">
        <f t="shared" si="24"/>
        <v>0.50710453820501666</v>
      </c>
    </row>
    <row r="1570" spans="1:12" x14ac:dyDescent="0.2">
      <c r="A1570">
        <v>1635</v>
      </c>
      <c r="B1570" t="s">
        <v>538</v>
      </c>
      <c r="C1570" t="s">
        <v>15</v>
      </c>
      <c r="D1570" s="1">
        <v>41912</v>
      </c>
      <c r="E1570" s="2">
        <v>13783000000</v>
      </c>
      <c r="F1570" s="2">
        <v>6542000000</v>
      </c>
      <c r="G1570" s="2">
        <v>2899000000</v>
      </c>
      <c r="H1570" t="s">
        <v>12</v>
      </c>
      <c r="I1570" s="2">
        <v>217000000</v>
      </c>
      <c r="J1570" t="s">
        <v>19</v>
      </c>
      <c r="K1570" t="s">
        <v>204</v>
      </c>
      <c r="L1570">
        <f t="shared" si="24"/>
        <v>0.52535732424000581</v>
      </c>
    </row>
    <row r="1571" spans="1:12" x14ac:dyDescent="0.2">
      <c r="A1571">
        <v>1636</v>
      </c>
      <c r="B1571" t="s">
        <v>538</v>
      </c>
      <c r="C1571" t="s">
        <v>16</v>
      </c>
      <c r="D1571" s="1">
        <v>42277</v>
      </c>
      <c r="E1571" s="2">
        <v>13268000000</v>
      </c>
      <c r="F1571" s="2">
        <v>6868000000</v>
      </c>
      <c r="G1571" s="2">
        <v>2860000000</v>
      </c>
      <c r="H1571" t="s">
        <v>12</v>
      </c>
      <c r="I1571" s="2">
        <v>222000000</v>
      </c>
      <c r="J1571" t="s">
        <v>19</v>
      </c>
      <c r="K1571" t="s">
        <v>204</v>
      </c>
      <c r="L1571">
        <f t="shared" si="24"/>
        <v>0.48236358154959302</v>
      </c>
    </row>
    <row r="1572" spans="1:12" x14ac:dyDescent="0.2">
      <c r="A1572">
        <v>1637</v>
      </c>
      <c r="B1572" t="s">
        <v>538</v>
      </c>
      <c r="C1572" t="s">
        <v>17</v>
      </c>
      <c r="D1572" s="1">
        <v>42643</v>
      </c>
      <c r="E1572" s="2">
        <v>12488000000</v>
      </c>
      <c r="F1572" s="2">
        <v>6684000000</v>
      </c>
      <c r="G1572" s="2">
        <v>2851000000</v>
      </c>
      <c r="H1572" t="s">
        <v>12</v>
      </c>
      <c r="I1572" s="2">
        <v>221000000</v>
      </c>
      <c r="J1572" t="s">
        <v>19</v>
      </c>
      <c r="K1572" t="s">
        <v>204</v>
      </c>
      <c r="L1572">
        <f t="shared" si="24"/>
        <v>0.46476617552850741</v>
      </c>
    </row>
    <row r="1573" spans="1:12" x14ac:dyDescent="0.2">
      <c r="A1573">
        <v>1638</v>
      </c>
      <c r="B1573" t="s">
        <v>539</v>
      </c>
      <c r="C1573" t="s">
        <v>11</v>
      </c>
      <c r="D1573" s="1">
        <v>41274</v>
      </c>
      <c r="E1573" s="2">
        <v>138393000000</v>
      </c>
      <c r="F1573" s="2">
        <v>126485000000</v>
      </c>
      <c r="G1573" s="2">
        <v>5229000000</v>
      </c>
      <c r="H1573" t="s">
        <v>12</v>
      </c>
      <c r="I1573" s="2">
        <v>1549000000</v>
      </c>
      <c r="J1573" t="s">
        <v>83</v>
      </c>
      <c r="K1573" t="s">
        <v>341</v>
      </c>
      <c r="L1573">
        <f t="shared" si="24"/>
        <v>8.6044814405352832E-2</v>
      </c>
    </row>
    <row r="1574" spans="1:12" x14ac:dyDescent="0.2">
      <c r="A1574">
        <v>1639</v>
      </c>
      <c r="B1574" t="s">
        <v>539</v>
      </c>
      <c r="C1574" t="s">
        <v>15</v>
      </c>
      <c r="D1574" s="1">
        <v>41639</v>
      </c>
      <c r="E1574" s="2">
        <v>138074000000</v>
      </c>
      <c r="F1574" s="2">
        <v>127316000000</v>
      </c>
      <c r="G1574" s="2">
        <v>5081000000</v>
      </c>
      <c r="H1574" t="s">
        <v>12</v>
      </c>
      <c r="I1574" s="2">
        <v>1720000000</v>
      </c>
      <c r="J1574" t="s">
        <v>83</v>
      </c>
      <c r="K1574" t="s">
        <v>341</v>
      </c>
      <c r="L1574">
        <f t="shared" si="24"/>
        <v>7.7914741370569418E-2</v>
      </c>
    </row>
    <row r="1575" spans="1:12" x14ac:dyDescent="0.2">
      <c r="A1575">
        <v>1640</v>
      </c>
      <c r="B1575" t="s">
        <v>539</v>
      </c>
      <c r="C1575" t="s">
        <v>16</v>
      </c>
      <c r="D1575" s="1">
        <v>42004</v>
      </c>
      <c r="E1575" s="2">
        <v>130844000000</v>
      </c>
      <c r="F1575" s="2">
        <v>118141000000</v>
      </c>
      <c r="G1575" s="2">
        <v>5111000000</v>
      </c>
      <c r="H1575" t="s">
        <v>12</v>
      </c>
      <c r="I1575" s="2">
        <v>1690000000</v>
      </c>
      <c r="J1575" t="s">
        <v>83</v>
      </c>
      <c r="K1575" t="s">
        <v>341</v>
      </c>
      <c r="L1575">
        <f t="shared" si="24"/>
        <v>9.7085078413989168E-2</v>
      </c>
    </row>
    <row r="1576" spans="1:12" x14ac:dyDescent="0.2">
      <c r="A1576">
        <v>1641</v>
      </c>
      <c r="B1576" t="s">
        <v>539</v>
      </c>
      <c r="C1576" t="s">
        <v>17</v>
      </c>
      <c r="D1576" s="1">
        <v>42369</v>
      </c>
      <c r="E1576" s="2">
        <v>87804000000</v>
      </c>
      <c r="F1576" s="2">
        <v>74651000000</v>
      </c>
      <c r="G1576" s="2">
        <v>4953000000</v>
      </c>
      <c r="H1576" t="s">
        <v>12</v>
      </c>
      <c r="I1576" s="2">
        <v>1842000000</v>
      </c>
      <c r="J1576" t="s">
        <v>83</v>
      </c>
      <c r="K1576" t="s">
        <v>341</v>
      </c>
      <c r="L1576">
        <f t="shared" si="24"/>
        <v>0.14979955355109109</v>
      </c>
    </row>
    <row r="1577" spans="1:12" x14ac:dyDescent="0.2">
      <c r="A1577">
        <v>1642</v>
      </c>
      <c r="B1577" t="s">
        <v>540</v>
      </c>
      <c r="C1577" t="s">
        <v>11</v>
      </c>
      <c r="D1577" s="1">
        <v>41274</v>
      </c>
      <c r="E1577" s="2">
        <v>2567310000</v>
      </c>
      <c r="F1577" s="2">
        <v>2233284000</v>
      </c>
      <c r="G1577" s="2">
        <v>308143000</v>
      </c>
      <c r="H1577" t="s">
        <v>12</v>
      </c>
      <c r="I1577" t="s">
        <v>12</v>
      </c>
      <c r="J1577" t="s">
        <v>59</v>
      </c>
      <c r="K1577" t="s">
        <v>387</v>
      </c>
      <c r="L1577">
        <f t="shared" si="24"/>
        <v>0.13010738866751581</v>
      </c>
    </row>
    <row r="1578" spans="1:12" x14ac:dyDescent="0.2">
      <c r="A1578">
        <v>1643</v>
      </c>
      <c r="B1578" t="s">
        <v>540</v>
      </c>
      <c r="C1578" t="s">
        <v>15</v>
      </c>
      <c r="D1578" s="1">
        <v>41639</v>
      </c>
      <c r="E1578" s="2">
        <v>2770709000</v>
      </c>
      <c r="F1578" s="2">
        <v>2343829000</v>
      </c>
      <c r="G1578" s="2">
        <v>274217000</v>
      </c>
      <c r="H1578" t="s">
        <v>12</v>
      </c>
      <c r="I1578" t="s">
        <v>12</v>
      </c>
      <c r="J1578" t="s">
        <v>59</v>
      </c>
      <c r="K1578" t="s">
        <v>387</v>
      </c>
      <c r="L1578">
        <f t="shared" si="24"/>
        <v>0.15406886829327804</v>
      </c>
    </row>
    <row r="1579" spans="1:12" x14ac:dyDescent="0.2">
      <c r="A1579">
        <v>1644</v>
      </c>
      <c r="B1579" t="s">
        <v>540</v>
      </c>
      <c r="C1579" t="s">
        <v>16</v>
      </c>
      <c r="D1579" s="1">
        <v>42004</v>
      </c>
      <c r="E1579" s="2">
        <v>2994169000</v>
      </c>
      <c r="F1579" s="2">
        <v>2406587000</v>
      </c>
      <c r="G1579" s="2">
        <v>292358000</v>
      </c>
      <c r="H1579" t="s">
        <v>12</v>
      </c>
      <c r="I1579" t="s">
        <v>12</v>
      </c>
      <c r="J1579" t="s">
        <v>59</v>
      </c>
      <c r="K1579" t="s">
        <v>387</v>
      </c>
      <c r="L1579">
        <f t="shared" si="24"/>
        <v>0.19624209588703911</v>
      </c>
    </row>
    <row r="1580" spans="1:12" x14ac:dyDescent="0.2">
      <c r="A1580">
        <v>1645</v>
      </c>
      <c r="B1580" t="s">
        <v>540</v>
      </c>
      <c r="C1580" t="s">
        <v>17</v>
      </c>
      <c r="D1580" s="1">
        <v>42369</v>
      </c>
      <c r="E1580" s="2">
        <v>3422181000</v>
      </c>
      <c r="F1580" s="2">
        <v>2564648000</v>
      </c>
      <c r="G1580" s="2">
        <v>312694000</v>
      </c>
      <c r="H1580" t="s">
        <v>12</v>
      </c>
      <c r="I1580" t="s">
        <v>12</v>
      </c>
      <c r="J1580" t="s">
        <v>59</v>
      </c>
      <c r="K1580" t="s">
        <v>387</v>
      </c>
      <c r="L1580">
        <f t="shared" si="24"/>
        <v>0.25058084303547945</v>
      </c>
    </row>
    <row r="1581" spans="1:12" x14ac:dyDescent="0.2">
      <c r="A1581">
        <v>1646</v>
      </c>
      <c r="B1581" t="s">
        <v>541</v>
      </c>
      <c r="C1581" t="s">
        <v>11</v>
      </c>
      <c r="D1581" s="1">
        <v>41639</v>
      </c>
      <c r="E1581" s="2">
        <v>2299176000</v>
      </c>
      <c r="F1581" s="2">
        <v>928565000</v>
      </c>
      <c r="G1581" s="2">
        <v>177366000</v>
      </c>
      <c r="H1581" s="2">
        <v>32210000</v>
      </c>
      <c r="I1581" s="2">
        <v>461627000</v>
      </c>
      <c r="J1581" t="s">
        <v>52</v>
      </c>
      <c r="K1581" t="s">
        <v>53</v>
      </c>
      <c r="L1581">
        <f t="shared" si="24"/>
        <v>0.59613139663949166</v>
      </c>
    </row>
    <row r="1582" spans="1:12" x14ac:dyDescent="0.2">
      <c r="A1582">
        <v>1647</v>
      </c>
      <c r="B1582" t="s">
        <v>541</v>
      </c>
      <c r="C1582" t="s">
        <v>15</v>
      </c>
      <c r="D1582" s="1">
        <v>42004</v>
      </c>
      <c r="E1582" s="2">
        <v>2312512000</v>
      </c>
      <c r="F1582" s="2">
        <v>953611000</v>
      </c>
      <c r="G1582" s="2">
        <v>169270000</v>
      </c>
      <c r="H1582" t="s">
        <v>12</v>
      </c>
      <c r="I1582" s="2">
        <v>481303000</v>
      </c>
      <c r="J1582" t="s">
        <v>52</v>
      </c>
      <c r="K1582" t="s">
        <v>53</v>
      </c>
      <c r="L1582">
        <f t="shared" si="24"/>
        <v>0.58762981554257876</v>
      </c>
    </row>
    <row r="1583" spans="1:12" x14ac:dyDescent="0.2">
      <c r="A1583">
        <v>1648</v>
      </c>
      <c r="B1583" t="s">
        <v>541</v>
      </c>
      <c r="C1583" t="s">
        <v>16</v>
      </c>
      <c r="D1583" s="1">
        <v>42369</v>
      </c>
      <c r="E1583" s="2">
        <v>2502267000</v>
      </c>
      <c r="F1583" s="2">
        <v>1011249000</v>
      </c>
      <c r="G1583" s="2">
        <v>175307000</v>
      </c>
      <c r="H1583" t="s">
        <v>12</v>
      </c>
      <c r="I1583" s="2">
        <v>542952000</v>
      </c>
      <c r="J1583" t="s">
        <v>52</v>
      </c>
      <c r="K1583" t="s">
        <v>53</v>
      </c>
      <c r="L1583">
        <f t="shared" si="24"/>
        <v>0.59586686792416632</v>
      </c>
    </row>
    <row r="1584" spans="1:12" x14ac:dyDescent="0.2">
      <c r="A1584">
        <v>1649</v>
      </c>
      <c r="B1584" t="s">
        <v>541</v>
      </c>
      <c r="C1584" t="s">
        <v>17</v>
      </c>
      <c r="D1584" s="1">
        <v>42735</v>
      </c>
      <c r="E1584" s="2">
        <v>2506202000</v>
      </c>
      <c r="F1584" s="2">
        <v>1024336000</v>
      </c>
      <c r="G1584" s="2">
        <v>179279000</v>
      </c>
      <c r="H1584" t="s">
        <v>12</v>
      </c>
      <c r="I1584" s="2">
        <v>565059000</v>
      </c>
      <c r="J1584" t="s">
        <v>52</v>
      </c>
      <c r="K1584" t="s">
        <v>53</v>
      </c>
      <c r="L1584">
        <f t="shared" si="24"/>
        <v>0.59127955368322271</v>
      </c>
    </row>
    <row r="1585" spans="1:12" x14ac:dyDescent="0.2">
      <c r="A1585">
        <v>1650</v>
      </c>
      <c r="B1585" t="s">
        <v>542</v>
      </c>
      <c r="C1585" t="s">
        <v>11</v>
      </c>
      <c r="D1585" s="1">
        <v>41274</v>
      </c>
      <c r="E1585" s="2">
        <v>1407848000</v>
      </c>
      <c r="F1585" s="2">
        <v>516708000</v>
      </c>
      <c r="G1585" s="2">
        <v>220068000</v>
      </c>
      <c r="H1585" t="s">
        <v>12</v>
      </c>
      <c r="I1585" s="2">
        <v>98844000</v>
      </c>
      <c r="J1585" t="s">
        <v>13</v>
      </c>
      <c r="K1585" t="s">
        <v>211</v>
      </c>
      <c r="L1585">
        <f t="shared" si="24"/>
        <v>0.6329802649149624</v>
      </c>
    </row>
    <row r="1586" spans="1:12" x14ac:dyDescent="0.2">
      <c r="A1586">
        <v>1651</v>
      </c>
      <c r="B1586" t="s">
        <v>542</v>
      </c>
      <c r="C1586" t="s">
        <v>15</v>
      </c>
      <c r="D1586" s="1">
        <v>41639</v>
      </c>
      <c r="E1586" s="2">
        <v>1595703000</v>
      </c>
      <c r="F1586" s="2">
        <v>622523000</v>
      </c>
      <c r="G1586" s="2">
        <v>228982000</v>
      </c>
      <c r="H1586" t="s">
        <v>12</v>
      </c>
      <c r="I1586" s="2">
        <v>129931000</v>
      </c>
      <c r="J1586" t="s">
        <v>13</v>
      </c>
      <c r="K1586" t="s">
        <v>211</v>
      </c>
      <c r="L1586">
        <f t="shared" si="24"/>
        <v>0.60987539661202617</v>
      </c>
    </row>
    <row r="1587" spans="1:12" x14ac:dyDescent="0.2">
      <c r="A1587">
        <v>1652</v>
      </c>
      <c r="B1587" t="s">
        <v>542</v>
      </c>
      <c r="C1587" t="s">
        <v>16</v>
      </c>
      <c r="D1587" s="1">
        <v>42004</v>
      </c>
      <c r="E1587" s="2">
        <v>1746726000</v>
      </c>
      <c r="F1587" s="2">
        <v>716598000</v>
      </c>
      <c r="G1587" s="2">
        <v>227306000</v>
      </c>
      <c r="H1587" t="s">
        <v>12</v>
      </c>
      <c r="I1587" s="2">
        <v>142376000</v>
      </c>
      <c r="J1587" t="s">
        <v>13</v>
      </c>
      <c r="K1587" t="s">
        <v>211</v>
      </c>
      <c r="L1587">
        <f t="shared" si="24"/>
        <v>0.58974790551008005</v>
      </c>
    </row>
    <row r="1588" spans="1:12" x14ac:dyDescent="0.2">
      <c r="A1588">
        <v>1653</v>
      </c>
      <c r="B1588" t="s">
        <v>542</v>
      </c>
      <c r="C1588" t="s">
        <v>17</v>
      </c>
      <c r="D1588" s="1">
        <v>42369</v>
      </c>
      <c r="E1588" s="2">
        <v>2068010000</v>
      </c>
      <c r="F1588" s="2">
        <v>803274000</v>
      </c>
      <c r="G1588" s="2">
        <v>312690000</v>
      </c>
      <c r="H1588" t="s">
        <v>12</v>
      </c>
      <c r="I1588" s="2">
        <v>215484000</v>
      </c>
      <c r="J1588" t="s">
        <v>13</v>
      </c>
      <c r="K1588" t="s">
        <v>211</v>
      </c>
      <c r="L1588">
        <f t="shared" si="24"/>
        <v>0.61157151077606009</v>
      </c>
    </row>
    <row r="1589" spans="1:12" x14ac:dyDescent="0.2">
      <c r="A1589">
        <v>1654</v>
      </c>
      <c r="B1589" t="s">
        <v>543</v>
      </c>
      <c r="C1589" t="s">
        <v>11</v>
      </c>
      <c r="D1589" s="1">
        <v>41274</v>
      </c>
      <c r="E1589" s="2">
        <v>873592000</v>
      </c>
      <c r="F1589" s="2">
        <v>167600000</v>
      </c>
      <c r="G1589" s="2">
        <v>186971000</v>
      </c>
      <c r="H1589" s="2">
        <v>61694000</v>
      </c>
      <c r="I1589" t="s">
        <v>12</v>
      </c>
      <c r="J1589" t="s">
        <v>22</v>
      </c>
      <c r="K1589" t="s">
        <v>57</v>
      </c>
      <c r="L1589">
        <f t="shared" si="24"/>
        <v>0.80814842626763983</v>
      </c>
    </row>
    <row r="1590" spans="1:12" x14ac:dyDescent="0.2">
      <c r="A1590">
        <v>1655</v>
      </c>
      <c r="B1590" t="s">
        <v>543</v>
      </c>
      <c r="C1590" t="s">
        <v>15</v>
      </c>
      <c r="D1590" s="1">
        <v>41639</v>
      </c>
      <c r="E1590" s="2">
        <v>965087000</v>
      </c>
      <c r="F1590" s="2">
        <v>187013000</v>
      </c>
      <c r="G1590" s="2">
        <v>179545000</v>
      </c>
      <c r="H1590" s="2">
        <v>70297000</v>
      </c>
      <c r="I1590" t="s">
        <v>12</v>
      </c>
      <c r="J1590" t="s">
        <v>22</v>
      </c>
      <c r="K1590" t="s">
        <v>57</v>
      </c>
      <c r="L1590">
        <f t="shared" si="24"/>
        <v>0.80622161525333991</v>
      </c>
    </row>
    <row r="1591" spans="1:12" x14ac:dyDescent="0.2">
      <c r="A1591">
        <v>1656</v>
      </c>
      <c r="B1591" t="s">
        <v>543</v>
      </c>
      <c r="C1591" t="s">
        <v>16</v>
      </c>
      <c r="D1591" s="1">
        <v>42004</v>
      </c>
      <c r="E1591" s="2">
        <v>1010117000</v>
      </c>
      <c r="F1591" s="2">
        <v>188425000</v>
      </c>
      <c r="G1591" s="2">
        <v>189488000</v>
      </c>
      <c r="H1591" s="2">
        <v>67777000</v>
      </c>
      <c r="I1591" t="s">
        <v>12</v>
      </c>
      <c r="J1591" t="s">
        <v>22</v>
      </c>
      <c r="K1591" t="s">
        <v>57</v>
      </c>
      <c r="L1591">
        <f t="shared" si="24"/>
        <v>0.81346220289332827</v>
      </c>
    </row>
    <row r="1592" spans="1:12" x14ac:dyDescent="0.2">
      <c r="A1592">
        <v>1657</v>
      </c>
      <c r="B1592" t="s">
        <v>543</v>
      </c>
      <c r="C1592" t="s">
        <v>17</v>
      </c>
      <c r="D1592" s="1">
        <v>42369</v>
      </c>
      <c r="E1592" s="2">
        <v>1059366000</v>
      </c>
      <c r="F1592" s="2">
        <v>192788000</v>
      </c>
      <c r="G1592" s="2">
        <v>196914000</v>
      </c>
      <c r="H1592" s="2">
        <v>63718000</v>
      </c>
      <c r="I1592" t="s">
        <v>12</v>
      </c>
      <c r="J1592" t="s">
        <v>22</v>
      </c>
      <c r="K1592" t="s">
        <v>57</v>
      </c>
      <c r="L1592">
        <f t="shared" si="24"/>
        <v>0.8180156810771726</v>
      </c>
    </row>
    <row r="1593" spans="1:12" x14ac:dyDescent="0.2">
      <c r="A1593">
        <v>1658</v>
      </c>
      <c r="B1593" t="s">
        <v>544</v>
      </c>
      <c r="C1593" t="s">
        <v>11</v>
      </c>
      <c r="D1593" s="1">
        <v>41274</v>
      </c>
      <c r="E1593" s="2">
        <v>1527042000</v>
      </c>
      <c r="F1593" s="2">
        <v>279885000</v>
      </c>
      <c r="G1593" s="2">
        <v>432681000</v>
      </c>
      <c r="H1593" s="2">
        <v>765905000</v>
      </c>
      <c r="I1593" t="s">
        <v>12</v>
      </c>
      <c r="J1593" t="s">
        <v>25</v>
      </c>
      <c r="K1593" t="s">
        <v>66</v>
      </c>
      <c r="L1593">
        <f t="shared" si="24"/>
        <v>0.81671427504940919</v>
      </c>
    </row>
    <row r="1594" spans="1:12" x14ac:dyDescent="0.2">
      <c r="A1594">
        <v>1659</v>
      </c>
      <c r="B1594" t="s">
        <v>544</v>
      </c>
      <c r="C1594" t="s">
        <v>15</v>
      </c>
      <c r="D1594" s="1">
        <v>41639</v>
      </c>
      <c r="E1594" s="2">
        <v>1211975000</v>
      </c>
      <c r="F1594" s="2">
        <v>130277000</v>
      </c>
      <c r="G1594" s="2">
        <v>356188000</v>
      </c>
      <c r="H1594" s="2">
        <v>882097000</v>
      </c>
      <c r="I1594" t="s">
        <v>12</v>
      </c>
      <c r="J1594" t="s">
        <v>25</v>
      </c>
      <c r="K1594" t="s">
        <v>66</v>
      </c>
      <c r="L1594">
        <f t="shared" si="24"/>
        <v>0.89250850883887867</v>
      </c>
    </row>
    <row r="1595" spans="1:12" x14ac:dyDescent="0.2">
      <c r="A1595">
        <v>1660</v>
      </c>
      <c r="B1595" t="s">
        <v>544</v>
      </c>
      <c r="C1595" t="s">
        <v>16</v>
      </c>
      <c r="D1595" s="1">
        <v>42004</v>
      </c>
      <c r="E1595" s="2">
        <v>580415000</v>
      </c>
      <c r="F1595" s="2">
        <v>60987000</v>
      </c>
      <c r="G1595" s="2">
        <v>305409000</v>
      </c>
      <c r="H1595" s="2">
        <v>855506000</v>
      </c>
      <c r="I1595" t="s">
        <v>12</v>
      </c>
      <c r="J1595" t="s">
        <v>25</v>
      </c>
      <c r="K1595" t="s">
        <v>66</v>
      </c>
      <c r="L1595">
        <f t="shared" si="24"/>
        <v>0.89492518284331035</v>
      </c>
    </row>
    <row r="1596" spans="1:12" x14ac:dyDescent="0.2">
      <c r="A1596">
        <v>1661</v>
      </c>
      <c r="B1596" t="s">
        <v>544</v>
      </c>
      <c r="C1596" t="s">
        <v>17</v>
      </c>
      <c r="D1596" s="1">
        <v>42369</v>
      </c>
      <c r="E1596" s="2">
        <v>1032336000</v>
      </c>
      <c r="F1596" s="2">
        <v>124512000</v>
      </c>
      <c r="G1596" s="2">
        <v>376575000</v>
      </c>
      <c r="H1596" s="2">
        <v>995922000</v>
      </c>
      <c r="I1596" t="s">
        <v>12</v>
      </c>
      <c r="J1596" t="s">
        <v>25</v>
      </c>
      <c r="K1596" t="s">
        <v>66</v>
      </c>
      <c r="L1596">
        <f t="shared" si="24"/>
        <v>0.87938810619798202</v>
      </c>
    </row>
    <row r="1597" spans="1:12" x14ac:dyDescent="0.2">
      <c r="A1597">
        <v>1662</v>
      </c>
      <c r="B1597" t="s">
        <v>545</v>
      </c>
      <c r="C1597" t="s">
        <v>11</v>
      </c>
      <c r="D1597" s="1">
        <v>41639</v>
      </c>
      <c r="E1597" s="2">
        <v>2514595000</v>
      </c>
      <c r="F1597" s="2">
        <v>1118240000</v>
      </c>
      <c r="G1597" s="2">
        <v>132447000</v>
      </c>
      <c r="H1597" t="s">
        <v>12</v>
      </c>
      <c r="I1597" s="2">
        <v>629908000</v>
      </c>
      <c r="J1597" t="s">
        <v>52</v>
      </c>
      <c r="K1597" t="s">
        <v>53</v>
      </c>
      <c r="L1597">
        <f t="shared" si="24"/>
        <v>0.55530015767946728</v>
      </c>
    </row>
    <row r="1598" spans="1:12" x14ac:dyDescent="0.2">
      <c r="A1598">
        <v>1663</v>
      </c>
      <c r="B1598" t="s">
        <v>545</v>
      </c>
      <c r="C1598" t="s">
        <v>15</v>
      </c>
      <c r="D1598" s="1">
        <v>42004</v>
      </c>
      <c r="E1598" s="2">
        <v>2772550000</v>
      </c>
      <c r="F1598" s="2">
        <v>1212480000</v>
      </c>
      <c r="G1598" s="2">
        <v>147481000</v>
      </c>
      <c r="H1598" t="s">
        <v>12</v>
      </c>
      <c r="I1598" s="2">
        <v>725216000</v>
      </c>
      <c r="J1598" t="s">
        <v>52</v>
      </c>
      <c r="K1598" t="s">
        <v>53</v>
      </c>
      <c r="L1598">
        <f t="shared" si="24"/>
        <v>0.56268417161097184</v>
      </c>
    </row>
    <row r="1599" spans="1:12" x14ac:dyDescent="0.2">
      <c r="A1599">
        <v>1664</v>
      </c>
      <c r="B1599" t="s">
        <v>545</v>
      </c>
      <c r="C1599" t="s">
        <v>16</v>
      </c>
      <c r="D1599" s="1">
        <v>42369</v>
      </c>
      <c r="E1599" s="2">
        <v>3285346000</v>
      </c>
      <c r="F1599" s="2">
        <v>1410205000</v>
      </c>
      <c r="G1599" s="2">
        <v>145992000</v>
      </c>
      <c r="H1599" t="s">
        <v>12</v>
      </c>
      <c r="I1599" s="2">
        <v>894057000</v>
      </c>
      <c r="J1599" t="s">
        <v>52</v>
      </c>
      <c r="K1599" t="s">
        <v>53</v>
      </c>
      <c r="L1599">
        <f t="shared" si="24"/>
        <v>0.570759061602644</v>
      </c>
    </row>
    <row r="1600" spans="1:12" x14ac:dyDescent="0.2">
      <c r="A1600">
        <v>1665</v>
      </c>
      <c r="B1600" t="s">
        <v>545</v>
      </c>
      <c r="C1600" t="s">
        <v>17</v>
      </c>
      <c r="D1600" s="1">
        <v>42735</v>
      </c>
      <c r="E1600" s="2">
        <v>3442646000</v>
      </c>
      <c r="F1600" s="2">
        <v>1442073000</v>
      </c>
      <c r="G1600" s="2">
        <v>136863000</v>
      </c>
      <c r="H1600" t="s">
        <v>12</v>
      </c>
      <c r="I1600" s="2">
        <v>898924000</v>
      </c>
      <c r="J1600" t="s">
        <v>52</v>
      </c>
      <c r="K1600" t="s">
        <v>53</v>
      </c>
      <c r="L1600">
        <f t="shared" si="24"/>
        <v>0.58111493310668594</v>
      </c>
    </row>
    <row r="1601" spans="1:12" x14ac:dyDescent="0.2">
      <c r="A1601">
        <v>1666</v>
      </c>
      <c r="B1601" t="s">
        <v>546</v>
      </c>
      <c r="C1601" t="s">
        <v>11</v>
      </c>
      <c r="D1601" s="1">
        <v>41274</v>
      </c>
      <c r="E1601" s="2">
        <v>115846000000</v>
      </c>
      <c r="F1601" s="2">
        <v>46275000000</v>
      </c>
      <c r="G1601" s="2">
        <v>39951000000</v>
      </c>
      <c r="H1601" t="s">
        <v>12</v>
      </c>
      <c r="I1601" s="2">
        <v>16460000000</v>
      </c>
      <c r="J1601" t="s">
        <v>182</v>
      </c>
      <c r="K1601" t="s">
        <v>183</v>
      </c>
      <c r="L1601">
        <f t="shared" si="24"/>
        <v>0.60054727828323817</v>
      </c>
    </row>
    <row r="1602" spans="1:12" x14ac:dyDescent="0.2">
      <c r="A1602">
        <v>1667</v>
      </c>
      <c r="B1602" t="s">
        <v>546</v>
      </c>
      <c r="C1602" t="s">
        <v>15</v>
      </c>
      <c r="D1602" s="1">
        <v>41639</v>
      </c>
      <c r="E1602" s="2">
        <v>120550000000</v>
      </c>
      <c r="F1602" s="2">
        <v>44887000000</v>
      </c>
      <c r="G1602" s="2">
        <v>27089000000</v>
      </c>
      <c r="H1602" t="s">
        <v>12</v>
      </c>
      <c r="I1602" s="2">
        <v>16606000000</v>
      </c>
      <c r="J1602" t="s">
        <v>182</v>
      </c>
      <c r="K1602" t="s">
        <v>183</v>
      </c>
      <c r="L1602">
        <f t="shared" si="24"/>
        <v>0.62764827872252171</v>
      </c>
    </row>
    <row r="1603" spans="1:12" x14ac:dyDescent="0.2">
      <c r="A1603">
        <v>1668</v>
      </c>
      <c r="B1603" t="s">
        <v>546</v>
      </c>
      <c r="C1603" t="s">
        <v>16</v>
      </c>
      <c r="D1603" s="1">
        <v>42004</v>
      </c>
      <c r="E1603" s="2">
        <v>127079000000</v>
      </c>
      <c r="F1603" s="2">
        <v>49931000000</v>
      </c>
      <c r="G1603" s="2">
        <v>41016000000</v>
      </c>
      <c r="H1603" t="s">
        <v>12</v>
      </c>
      <c r="I1603" s="2">
        <v>16533000000</v>
      </c>
      <c r="J1603" t="s">
        <v>182</v>
      </c>
      <c r="K1603" t="s">
        <v>183</v>
      </c>
      <c r="L1603">
        <f t="shared" ref="L1603:L1666" si="25">1-F1603/E1603</f>
        <v>0.60708693017729132</v>
      </c>
    </row>
    <row r="1604" spans="1:12" x14ac:dyDescent="0.2">
      <c r="A1604">
        <v>1669</v>
      </c>
      <c r="B1604" t="s">
        <v>546</v>
      </c>
      <c r="C1604" t="s">
        <v>17</v>
      </c>
      <c r="D1604" s="1">
        <v>42369</v>
      </c>
      <c r="E1604" s="2">
        <v>131620000000</v>
      </c>
      <c r="F1604" s="2">
        <v>52557000000</v>
      </c>
      <c r="G1604" s="2">
        <v>29986000000</v>
      </c>
      <c r="H1604" t="s">
        <v>12</v>
      </c>
      <c r="I1604" s="2">
        <v>16017000000</v>
      </c>
      <c r="J1604" t="s">
        <v>182</v>
      </c>
      <c r="K1604" t="s">
        <v>183</v>
      </c>
      <c r="L1604">
        <f t="shared" si="25"/>
        <v>0.60069138428810209</v>
      </c>
    </row>
    <row r="1605" spans="1:12" x14ac:dyDescent="0.2">
      <c r="A1605">
        <v>1670</v>
      </c>
      <c r="B1605" t="s">
        <v>547</v>
      </c>
      <c r="C1605" t="s">
        <v>11</v>
      </c>
      <c r="D1605" s="1">
        <v>41274</v>
      </c>
      <c r="E1605" s="2">
        <v>1843641000</v>
      </c>
      <c r="F1605" s="2">
        <v>737614000</v>
      </c>
      <c r="G1605" s="2">
        <v>477270000</v>
      </c>
      <c r="H1605" s="2">
        <v>96004000</v>
      </c>
      <c r="I1605" s="2">
        <v>13829000</v>
      </c>
      <c r="J1605" t="s">
        <v>25</v>
      </c>
      <c r="K1605" t="s">
        <v>28</v>
      </c>
      <c r="L1605">
        <f t="shared" si="25"/>
        <v>0.59991451698025811</v>
      </c>
    </row>
    <row r="1606" spans="1:12" x14ac:dyDescent="0.2">
      <c r="A1606">
        <v>1671</v>
      </c>
      <c r="B1606" t="s">
        <v>547</v>
      </c>
      <c r="C1606" t="s">
        <v>15</v>
      </c>
      <c r="D1606" s="1">
        <v>41639</v>
      </c>
      <c r="E1606" s="2">
        <v>1904218000</v>
      </c>
      <c r="F1606" s="2">
        <v>783456000</v>
      </c>
      <c r="G1606" s="2">
        <v>492965000</v>
      </c>
      <c r="H1606" s="2">
        <v>100536000</v>
      </c>
      <c r="I1606" s="2">
        <v>9918000</v>
      </c>
      <c r="J1606" t="s">
        <v>25</v>
      </c>
      <c r="K1606" t="s">
        <v>28</v>
      </c>
      <c r="L1606">
        <f t="shared" si="25"/>
        <v>0.58856811562541678</v>
      </c>
    </row>
    <row r="1607" spans="1:12" x14ac:dyDescent="0.2">
      <c r="A1607">
        <v>1672</v>
      </c>
      <c r="B1607" t="s">
        <v>547</v>
      </c>
      <c r="C1607" t="s">
        <v>16</v>
      </c>
      <c r="D1607" s="1">
        <v>42004</v>
      </c>
      <c r="E1607" s="2">
        <v>1989344000</v>
      </c>
      <c r="F1607" s="2">
        <v>824913000</v>
      </c>
      <c r="G1607" s="2">
        <v>512707000</v>
      </c>
      <c r="H1607" s="2">
        <v>107726000</v>
      </c>
      <c r="I1607" s="2">
        <v>10634000</v>
      </c>
      <c r="J1607" t="s">
        <v>25</v>
      </c>
      <c r="K1607" t="s">
        <v>28</v>
      </c>
      <c r="L1607">
        <f t="shared" si="25"/>
        <v>0.58533416040664665</v>
      </c>
    </row>
    <row r="1608" spans="1:12" x14ac:dyDescent="0.2">
      <c r="A1608">
        <v>1673</v>
      </c>
      <c r="B1608" t="s">
        <v>547</v>
      </c>
      <c r="C1608" t="s">
        <v>17</v>
      </c>
      <c r="D1608" s="1">
        <v>42369</v>
      </c>
      <c r="E1608" s="2">
        <v>2042332000</v>
      </c>
      <c r="F1608" s="2">
        <v>842672000</v>
      </c>
      <c r="G1608" s="2">
        <v>495747000</v>
      </c>
      <c r="H1608" s="2">
        <v>118545000</v>
      </c>
      <c r="I1608" s="2">
        <v>10123000</v>
      </c>
      <c r="J1608" t="s">
        <v>25</v>
      </c>
      <c r="K1608" t="s">
        <v>28</v>
      </c>
      <c r="L1608">
        <f t="shared" si="25"/>
        <v>0.58739715188323938</v>
      </c>
    </row>
    <row r="1609" spans="1:12" x14ac:dyDescent="0.2">
      <c r="A1609">
        <v>1674</v>
      </c>
      <c r="B1609" t="s">
        <v>548</v>
      </c>
      <c r="C1609" t="s">
        <v>11</v>
      </c>
      <c r="D1609" s="1">
        <v>41453</v>
      </c>
      <c r="E1609" s="2">
        <v>15351000000</v>
      </c>
      <c r="F1609" s="2">
        <v>10988000000</v>
      </c>
      <c r="G1609" s="2">
        <v>1525000000</v>
      </c>
      <c r="H1609" s="2">
        <v>1572000000</v>
      </c>
      <c r="I1609" t="s">
        <v>12</v>
      </c>
      <c r="J1609" t="s">
        <v>22</v>
      </c>
      <c r="K1609" t="s">
        <v>489</v>
      </c>
      <c r="L1609">
        <f t="shared" si="25"/>
        <v>0.28421601198618984</v>
      </c>
    </row>
    <row r="1610" spans="1:12" x14ac:dyDescent="0.2">
      <c r="A1610">
        <v>1675</v>
      </c>
      <c r="B1610" t="s">
        <v>548</v>
      </c>
      <c r="C1610" t="s">
        <v>15</v>
      </c>
      <c r="D1610" s="1">
        <v>41817</v>
      </c>
      <c r="E1610" s="2">
        <v>15130000000</v>
      </c>
      <c r="F1610" s="2">
        <v>10770000000</v>
      </c>
      <c r="G1610" s="2">
        <v>908000000</v>
      </c>
      <c r="H1610" s="2">
        <v>1661000000</v>
      </c>
      <c r="I1610" t="s">
        <v>12</v>
      </c>
      <c r="J1610" t="s">
        <v>22</v>
      </c>
      <c r="K1610" t="s">
        <v>489</v>
      </c>
      <c r="L1610">
        <f t="shared" si="25"/>
        <v>0.28816920026437542</v>
      </c>
    </row>
    <row r="1611" spans="1:12" x14ac:dyDescent="0.2">
      <c r="A1611">
        <v>1676</v>
      </c>
      <c r="B1611" t="s">
        <v>548</v>
      </c>
      <c r="C1611" t="s">
        <v>16</v>
      </c>
      <c r="D1611" s="1">
        <v>42188</v>
      </c>
      <c r="E1611" s="2">
        <v>14572000000</v>
      </c>
      <c r="F1611" s="2">
        <v>10351000000</v>
      </c>
      <c r="G1611" s="2">
        <v>964000000</v>
      </c>
      <c r="H1611" s="2">
        <v>1646000000</v>
      </c>
      <c r="I1611" t="s">
        <v>12</v>
      </c>
      <c r="J1611" t="s">
        <v>22</v>
      </c>
      <c r="K1611" t="s">
        <v>489</v>
      </c>
      <c r="L1611">
        <f t="shared" si="25"/>
        <v>0.28966511117211091</v>
      </c>
    </row>
    <row r="1612" spans="1:12" x14ac:dyDescent="0.2">
      <c r="A1612">
        <v>1677</v>
      </c>
      <c r="B1612" t="s">
        <v>548</v>
      </c>
      <c r="C1612" t="s">
        <v>17</v>
      </c>
      <c r="D1612" s="1">
        <v>42552</v>
      </c>
      <c r="E1612" s="2">
        <v>12994000000</v>
      </c>
      <c r="F1612" s="2">
        <v>9559000000</v>
      </c>
      <c r="G1612" s="2">
        <v>1342000000</v>
      </c>
      <c r="H1612" s="2">
        <v>1627000000</v>
      </c>
      <c r="I1612" t="s">
        <v>12</v>
      </c>
      <c r="J1612" t="s">
        <v>22</v>
      </c>
      <c r="K1612" t="s">
        <v>489</v>
      </c>
      <c r="L1612">
        <f t="shared" si="25"/>
        <v>0.26435277820532554</v>
      </c>
    </row>
    <row r="1613" spans="1:12" x14ac:dyDescent="0.2">
      <c r="A1613">
        <v>1678</v>
      </c>
      <c r="B1613" t="s">
        <v>549</v>
      </c>
      <c r="C1613" t="s">
        <v>11</v>
      </c>
      <c r="D1613" s="1">
        <v>41274</v>
      </c>
      <c r="E1613" s="2">
        <v>4246400000</v>
      </c>
      <c r="F1613" s="2">
        <v>2760500000</v>
      </c>
      <c r="G1613" s="2">
        <v>121400000</v>
      </c>
      <c r="H1613" t="s">
        <v>12</v>
      </c>
      <c r="I1613" s="2">
        <v>364200000</v>
      </c>
      <c r="J1613" t="s">
        <v>42</v>
      </c>
      <c r="K1613" t="s">
        <v>45</v>
      </c>
      <c r="L1613">
        <f t="shared" si="25"/>
        <v>0.34991993217784478</v>
      </c>
    </row>
    <row r="1614" spans="1:12" x14ac:dyDescent="0.2">
      <c r="A1614">
        <v>1679</v>
      </c>
      <c r="B1614" t="s">
        <v>549</v>
      </c>
      <c r="C1614" t="s">
        <v>15</v>
      </c>
      <c r="D1614" s="1">
        <v>41639</v>
      </c>
      <c r="E1614" s="2">
        <v>4519000000</v>
      </c>
      <c r="F1614" s="2">
        <v>2982100000</v>
      </c>
      <c r="G1614" s="2">
        <v>116700000</v>
      </c>
      <c r="H1614" t="s">
        <v>12</v>
      </c>
      <c r="I1614" s="2">
        <v>340100000</v>
      </c>
      <c r="J1614" t="s">
        <v>42</v>
      </c>
      <c r="K1614" t="s">
        <v>45</v>
      </c>
      <c r="L1614">
        <f t="shared" si="25"/>
        <v>0.34009736667404289</v>
      </c>
    </row>
    <row r="1615" spans="1:12" x14ac:dyDescent="0.2">
      <c r="A1615">
        <v>1680</v>
      </c>
      <c r="B1615" t="s">
        <v>549</v>
      </c>
      <c r="C1615" t="s">
        <v>16</v>
      </c>
      <c r="D1615" s="1">
        <v>42004</v>
      </c>
      <c r="E1615" s="2">
        <v>4997100000</v>
      </c>
      <c r="F1615" s="2">
        <v>3371800000</v>
      </c>
      <c r="G1615" s="2">
        <v>121800000</v>
      </c>
      <c r="H1615" t="s">
        <v>12</v>
      </c>
      <c r="I1615" s="2">
        <v>391400000</v>
      </c>
      <c r="J1615" t="s">
        <v>42</v>
      </c>
      <c r="K1615" t="s">
        <v>45</v>
      </c>
      <c r="L1615">
        <f t="shared" si="25"/>
        <v>0.32524864421364397</v>
      </c>
    </row>
    <row r="1616" spans="1:12" x14ac:dyDescent="0.2">
      <c r="A1616">
        <v>1681</v>
      </c>
      <c r="B1616" t="s">
        <v>549</v>
      </c>
      <c r="C1616" t="s">
        <v>17</v>
      </c>
      <c r="D1616" s="1">
        <v>42369</v>
      </c>
      <c r="E1616" s="2">
        <v>5926100000</v>
      </c>
      <c r="F1616" s="2">
        <v>3949400000</v>
      </c>
      <c r="G1616" s="2">
        <v>164400000</v>
      </c>
      <c r="H1616" t="s">
        <v>12</v>
      </c>
      <c r="I1616" s="2">
        <v>561800000</v>
      </c>
      <c r="J1616" t="s">
        <v>42</v>
      </c>
      <c r="K1616" t="s">
        <v>45</v>
      </c>
      <c r="L1616">
        <f t="shared" si="25"/>
        <v>0.33355832672415253</v>
      </c>
    </row>
    <row r="1617" spans="1:12" x14ac:dyDescent="0.2">
      <c r="A1617">
        <v>1682</v>
      </c>
      <c r="B1617" t="s">
        <v>550</v>
      </c>
      <c r="C1617" t="s">
        <v>11</v>
      </c>
      <c r="D1617" s="1">
        <v>41274</v>
      </c>
      <c r="E1617" s="2">
        <v>91247000000</v>
      </c>
      <c r="F1617" s="2">
        <v>1727000000</v>
      </c>
      <c r="G1617" s="2">
        <v>48724000000</v>
      </c>
      <c r="H1617" t="s">
        <v>12</v>
      </c>
      <c r="I1617" s="2">
        <v>8891000000</v>
      </c>
      <c r="J1617" t="s">
        <v>47</v>
      </c>
      <c r="K1617" t="s">
        <v>105</v>
      </c>
      <c r="L1617">
        <f t="shared" si="25"/>
        <v>0.98107335035672405</v>
      </c>
    </row>
    <row r="1618" spans="1:12" x14ac:dyDescent="0.2">
      <c r="A1618">
        <v>1683</v>
      </c>
      <c r="B1618" t="s">
        <v>550</v>
      </c>
      <c r="C1618" t="s">
        <v>15</v>
      </c>
      <c r="D1618" s="1">
        <v>41639</v>
      </c>
      <c r="E1618" s="2">
        <v>88069000000</v>
      </c>
      <c r="F1618" s="2">
        <v>1337000000</v>
      </c>
      <c r="G1618" s="2">
        <v>47338000000</v>
      </c>
      <c r="H1618" t="s">
        <v>12</v>
      </c>
      <c r="I1618" s="2">
        <v>3813000000</v>
      </c>
      <c r="J1618" t="s">
        <v>47</v>
      </c>
      <c r="K1618" t="s">
        <v>105</v>
      </c>
      <c r="L1618">
        <f t="shared" si="25"/>
        <v>0.98481872168413398</v>
      </c>
    </row>
    <row r="1619" spans="1:12" x14ac:dyDescent="0.2">
      <c r="A1619">
        <v>1684</v>
      </c>
      <c r="B1619" t="s">
        <v>550</v>
      </c>
      <c r="C1619" t="s">
        <v>16</v>
      </c>
      <c r="D1619" s="1">
        <v>42004</v>
      </c>
      <c r="E1619" s="2">
        <v>88372000000</v>
      </c>
      <c r="F1619" s="2">
        <v>1096000000</v>
      </c>
      <c r="G1619" s="2">
        <v>47667000000</v>
      </c>
      <c r="H1619" t="s">
        <v>12</v>
      </c>
      <c r="I1619" s="2">
        <v>2765000000</v>
      </c>
      <c r="J1619" t="s">
        <v>47</v>
      </c>
      <c r="K1619" t="s">
        <v>105</v>
      </c>
      <c r="L1619">
        <f t="shared" si="25"/>
        <v>0.9875978816819807</v>
      </c>
    </row>
    <row r="1620" spans="1:12" x14ac:dyDescent="0.2">
      <c r="A1620">
        <v>1685</v>
      </c>
      <c r="B1620" t="s">
        <v>550</v>
      </c>
      <c r="C1620" t="s">
        <v>17</v>
      </c>
      <c r="D1620" s="1">
        <v>42369</v>
      </c>
      <c r="E1620" s="2">
        <v>90033000000</v>
      </c>
      <c r="F1620" s="2">
        <v>963000000</v>
      </c>
      <c r="G1620" s="2">
        <v>48728000000</v>
      </c>
      <c r="H1620" t="s">
        <v>12</v>
      </c>
      <c r="I1620" s="2">
        <v>3688000000</v>
      </c>
      <c r="J1620" t="s">
        <v>47</v>
      </c>
      <c r="K1620" t="s">
        <v>105</v>
      </c>
      <c r="L1620">
        <f t="shared" si="25"/>
        <v>0.98930392189530503</v>
      </c>
    </row>
    <row r="1621" spans="1:12" x14ac:dyDescent="0.2">
      <c r="A1621">
        <v>1686</v>
      </c>
      <c r="B1621" t="s">
        <v>551</v>
      </c>
      <c r="C1621" t="s">
        <v>11</v>
      </c>
      <c r="D1621" s="1">
        <v>41546</v>
      </c>
      <c r="E1621" s="2">
        <v>12917000000</v>
      </c>
      <c r="F1621" s="2">
        <v>8288000000</v>
      </c>
      <c r="G1621" s="2">
        <v>3682000000</v>
      </c>
      <c r="H1621" t="s">
        <v>12</v>
      </c>
      <c r="I1621" t="s">
        <v>12</v>
      </c>
      <c r="J1621" t="s">
        <v>36</v>
      </c>
      <c r="K1621" t="s">
        <v>346</v>
      </c>
      <c r="L1621">
        <f t="shared" si="25"/>
        <v>0.35836494542076336</v>
      </c>
    </row>
    <row r="1622" spans="1:12" x14ac:dyDescent="0.2">
      <c r="A1622">
        <v>1687</v>
      </c>
      <c r="B1622" t="s">
        <v>551</v>
      </c>
      <c r="C1622" t="s">
        <v>15</v>
      </c>
      <c r="D1622" s="1">
        <v>41910</v>
      </c>
      <c r="E1622" s="2">
        <v>14194000000</v>
      </c>
      <c r="F1622" s="2">
        <v>9150000000</v>
      </c>
      <c r="G1622" s="2">
        <v>4032000000</v>
      </c>
      <c r="H1622" t="s">
        <v>12</v>
      </c>
      <c r="I1622" t="s">
        <v>12</v>
      </c>
      <c r="J1622" t="s">
        <v>36</v>
      </c>
      <c r="K1622" t="s">
        <v>346</v>
      </c>
      <c r="L1622">
        <f t="shared" si="25"/>
        <v>0.35536142031844442</v>
      </c>
    </row>
    <row r="1623" spans="1:12" x14ac:dyDescent="0.2">
      <c r="A1623">
        <v>1688</v>
      </c>
      <c r="B1623" t="s">
        <v>551</v>
      </c>
      <c r="C1623" t="s">
        <v>16</v>
      </c>
      <c r="D1623" s="1">
        <v>42274</v>
      </c>
      <c r="E1623" s="2">
        <v>15389000000</v>
      </c>
      <c r="F1623" s="2">
        <v>9973000000</v>
      </c>
      <c r="G1623" s="2">
        <v>4472000000</v>
      </c>
      <c r="H1623" t="s">
        <v>12</v>
      </c>
      <c r="I1623" t="s">
        <v>12</v>
      </c>
      <c r="J1623" t="s">
        <v>36</v>
      </c>
      <c r="K1623" t="s">
        <v>346</v>
      </c>
      <c r="L1623">
        <f t="shared" si="25"/>
        <v>0.35193969718630191</v>
      </c>
    </row>
    <row r="1624" spans="1:12" x14ac:dyDescent="0.2">
      <c r="A1624">
        <v>1689</v>
      </c>
      <c r="B1624" t="s">
        <v>551</v>
      </c>
      <c r="C1624" t="s">
        <v>17</v>
      </c>
      <c r="D1624" s="1">
        <v>42638</v>
      </c>
      <c r="E1624" s="2">
        <v>15724000000</v>
      </c>
      <c r="F1624" s="2">
        <v>10313000000</v>
      </c>
      <c r="G1624" s="2">
        <v>4477000000</v>
      </c>
      <c r="H1624" t="s">
        <v>12</v>
      </c>
      <c r="I1624" t="s">
        <v>12</v>
      </c>
      <c r="J1624" t="s">
        <v>36</v>
      </c>
      <c r="K1624" t="s">
        <v>346</v>
      </c>
      <c r="L1624">
        <f t="shared" si="25"/>
        <v>0.34412363266344437</v>
      </c>
    </row>
    <row r="1625" spans="1:12" x14ac:dyDescent="0.2">
      <c r="A1625">
        <v>1690</v>
      </c>
      <c r="B1625" t="s">
        <v>552</v>
      </c>
      <c r="C1625" t="s">
        <v>11</v>
      </c>
      <c r="D1625" s="1">
        <v>41639</v>
      </c>
      <c r="E1625" s="2">
        <v>18769000000</v>
      </c>
      <c r="F1625" s="2">
        <v>15471000000</v>
      </c>
      <c r="G1625" s="2">
        <v>1828000000</v>
      </c>
      <c r="H1625" t="s">
        <v>12</v>
      </c>
      <c r="I1625" s="2">
        <v>25000000</v>
      </c>
      <c r="J1625" t="s">
        <v>19</v>
      </c>
      <c r="K1625" t="s">
        <v>480</v>
      </c>
      <c r="L1625">
        <f t="shared" si="25"/>
        <v>0.17571527518780972</v>
      </c>
    </row>
    <row r="1626" spans="1:12" x14ac:dyDescent="0.2">
      <c r="A1626">
        <v>1691</v>
      </c>
      <c r="B1626" t="s">
        <v>552</v>
      </c>
      <c r="C1626" t="s">
        <v>15</v>
      </c>
      <c r="D1626" s="1">
        <v>42004</v>
      </c>
      <c r="E1626" s="2">
        <v>19872000000</v>
      </c>
      <c r="F1626" s="2">
        <v>16477000000</v>
      </c>
      <c r="G1626" s="2">
        <v>2038000000</v>
      </c>
      <c r="H1626" t="s">
        <v>12</v>
      </c>
      <c r="I1626" s="2">
        <v>33000000</v>
      </c>
      <c r="J1626" t="s">
        <v>19</v>
      </c>
      <c r="K1626" t="s">
        <v>480</v>
      </c>
      <c r="L1626">
        <f t="shared" si="25"/>
        <v>0.17084339774557167</v>
      </c>
    </row>
    <row r="1627" spans="1:12" x14ac:dyDescent="0.2">
      <c r="A1627">
        <v>1692</v>
      </c>
      <c r="B1627" t="s">
        <v>552</v>
      </c>
      <c r="C1627" t="s">
        <v>16</v>
      </c>
      <c r="D1627" s="1">
        <v>42369</v>
      </c>
      <c r="E1627" s="2">
        <v>20891000000</v>
      </c>
      <c r="F1627" s="2">
        <v>17201000000</v>
      </c>
      <c r="G1627" s="2">
        <v>2130000000</v>
      </c>
      <c r="H1627" t="s">
        <v>12</v>
      </c>
      <c r="I1627" s="2">
        <v>74000000</v>
      </c>
      <c r="J1627" t="s">
        <v>19</v>
      </c>
      <c r="K1627" t="s">
        <v>480</v>
      </c>
      <c r="L1627">
        <f t="shared" si="25"/>
        <v>0.17663108515628745</v>
      </c>
    </row>
    <row r="1628" spans="1:12" x14ac:dyDescent="0.2">
      <c r="A1628">
        <v>1693</v>
      </c>
      <c r="B1628" t="s">
        <v>552</v>
      </c>
      <c r="C1628" t="s">
        <v>17</v>
      </c>
      <c r="D1628" s="1">
        <v>42735</v>
      </c>
      <c r="E1628" s="2">
        <v>20718000000</v>
      </c>
      <c r="F1628" s="2">
        <v>17036000000</v>
      </c>
      <c r="G1628" s="2">
        <v>2084000000</v>
      </c>
      <c r="H1628" t="s">
        <v>12</v>
      </c>
      <c r="I1628" s="2">
        <v>71000000</v>
      </c>
      <c r="J1628" t="s">
        <v>19</v>
      </c>
      <c r="K1628" t="s">
        <v>480</v>
      </c>
      <c r="L1628">
        <f t="shared" si="25"/>
        <v>0.17771985712906646</v>
      </c>
    </row>
    <row r="1629" spans="1:12" x14ac:dyDescent="0.2">
      <c r="A1629">
        <v>1698</v>
      </c>
      <c r="B1629" t="s">
        <v>553</v>
      </c>
      <c r="C1629" t="s">
        <v>11</v>
      </c>
      <c r="D1629" s="1">
        <v>41639</v>
      </c>
      <c r="E1629" s="2">
        <v>13983000000</v>
      </c>
      <c r="F1629" s="2">
        <v>9112000000</v>
      </c>
      <c r="G1629" s="2">
        <v>1468000000</v>
      </c>
      <c r="H1629" t="s">
        <v>12</v>
      </c>
      <c r="I1629" s="2">
        <v>1333000000</v>
      </c>
      <c r="J1629" t="s">
        <v>13</v>
      </c>
      <c r="K1629" t="s">
        <v>554</v>
      </c>
      <c r="L1629">
        <f t="shared" si="25"/>
        <v>0.34835156976328396</v>
      </c>
    </row>
    <row r="1630" spans="1:12" x14ac:dyDescent="0.2">
      <c r="A1630">
        <v>1699</v>
      </c>
      <c r="B1630" t="s">
        <v>553</v>
      </c>
      <c r="C1630" t="s">
        <v>15</v>
      </c>
      <c r="D1630" s="1">
        <v>42004</v>
      </c>
      <c r="E1630" s="2">
        <v>13996000000</v>
      </c>
      <c r="F1630" s="2">
        <v>9002000000</v>
      </c>
      <c r="G1630" s="2">
        <v>1481000000</v>
      </c>
      <c r="H1630" t="s">
        <v>12</v>
      </c>
      <c r="I1630" s="2">
        <v>1292000000</v>
      </c>
      <c r="J1630" t="s">
        <v>13</v>
      </c>
      <c r="K1630" t="s">
        <v>554</v>
      </c>
      <c r="L1630">
        <f t="shared" si="25"/>
        <v>0.35681623320948841</v>
      </c>
    </row>
    <row r="1631" spans="1:12" x14ac:dyDescent="0.2">
      <c r="A1631">
        <v>1700</v>
      </c>
      <c r="B1631" t="s">
        <v>553</v>
      </c>
      <c r="C1631" t="s">
        <v>16</v>
      </c>
      <c r="D1631" s="1">
        <v>42369</v>
      </c>
      <c r="E1631" s="2">
        <v>12961000000</v>
      </c>
      <c r="F1631" s="2">
        <v>8231000000</v>
      </c>
      <c r="G1631" s="2">
        <v>1343000000</v>
      </c>
      <c r="H1631" t="s">
        <v>12</v>
      </c>
      <c r="I1631" s="2">
        <v>1245000000</v>
      </c>
      <c r="J1631" t="s">
        <v>13</v>
      </c>
      <c r="K1631" t="s">
        <v>554</v>
      </c>
      <c r="L1631">
        <f t="shared" si="25"/>
        <v>0.36494097677648329</v>
      </c>
    </row>
    <row r="1632" spans="1:12" x14ac:dyDescent="0.2">
      <c r="A1632">
        <v>1701</v>
      </c>
      <c r="B1632" t="s">
        <v>553</v>
      </c>
      <c r="C1632" t="s">
        <v>17</v>
      </c>
      <c r="D1632" s="1">
        <v>42735</v>
      </c>
      <c r="E1632" s="2">
        <v>13609000000</v>
      </c>
      <c r="F1632" s="2">
        <v>8486000000</v>
      </c>
      <c r="G1632" s="2">
        <v>1410000000</v>
      </c>
      <c r="H1632" t="s">
        <v>12</v>
      </c>
      <c r="I1632" s="2">
        <v>1301000000</v>
      </c>
      <c r="J1632" t="s">
        <v>13</v>
      </c>
      <c r="K1632" t="s">
        <v>554</v>
      </c>
      <c r="L1632">
        <f t="shared" si="25"/>
        <v>0.37644206040120509</v>
      </c>
    </row>
    <row r="1633" spans="1:12" x14ac:dyDescent="0.2">
      <c r="A1633">
        <v>1702</v>
      </c>
      <c r="B1633" t="s">
        <v>555</v>
      </c>
      <c r="C1633" t="s">
        <v>11</v>
      </c>
      <c r="D1633" s="1">
        <v>41274</v>
      </c>
      <c r="E1633" s="2">
        <v>7486000000</v>
      </c>
      <c r="F1633" s="2">
        <v>4523000000</v>
      </c>
      <c r="G1633" s="2">
        <v>595000000</v>
      </c>
      <c r="H1633" t="s">
        <v>12</v>
      </c>
      <c r="I1633" s="2">
        <v>756000000</v>
      </c>
      <c r="J1633" t="s">
        <v>83</v>
      </c>
      <c r="K1633" t="s">
        <v>84</v>
      </c>
      <c r="L1633">
        <f t="shared" si="25"/>
        <v>0.39580550360673261</v>
      </c>
    </row>
    <row r="1634" spans="1:12" x14ac:dyDescent="0.2">
      <c r="A1634">
        <v>1703</v>
      </c>
      <c r="B1634" t="s">
        <v>555</v>
      </c>
      <c r="C1634" t="s">
        <v>15</v>
      </c>
      <c r="D1634" s="1">
        <v>41639</v>
      </c>
      <c r="E1634" s="2">
        <v>6860000000</v>
      </c>
      <c r="F1634" s="2">
        <v>4124000000</v>
      </c>
      <c r="G1634" s="2">
        <v>546000000</v>
      </c>
      <c r="H1634" t="s">
        <v>12</v>
      </c>
      <c r="I1634" s="2">
        <v>815000000</v>
      </c>
      <c r="J1634" t="s">
        <v>83</v>
      </c>
      <c r="K1634" t="s">
        <v>84</v>
      </c>
      <c r="L1634">
        <f t="shared" si="25"/>
        <v>0.39883381924198247</v>
      </c>
    </row>
    <row r="1635" spans="1:12" x14ac:dyDescent="0.2">
      <c r="A1635">
        <v>1704</v>
      </c>
      <c r="B1635" t="s">
        <v>555</v>
      </c>
      <c r="C1635" t="s">
        <v>16</v>
      </c>
      <c r="D1635" s="1">
        <v>42004</v>
      </c>
      <c r="E1635" s="2">
        <v>7637000000</v>
      </c>
      <c r="F1635" s="2">
        <v>4508000000</v>
      </c>
      <c r="G1635" s="2">
        <v>384000000</v>
      </c>
      <c r="H1635" t="s">
        <v>12</v>
      </c>
      <c r="I1635" s="2">
        <v>1176000000</v>
      </c>
      <c r="J1635" t="s">
        <v>83</v>
      </c>
      <c r="K1635" t="s">
        <v>84</v>
      </c>
      <c r="L1635">
        <f t="shared" si="25"/>
        <v>0.40971585701191571</v>
      </c>
    </row>
    <row r="1636" spans="1:12" x14ac:dyDescent="0.2">
      <c r="A1636">
        <v>1705</v>
      </c>
      <c r="B1636" t="s">
        <v>555</v>
      </c>
      <c r="C1636" t="s">
        <v>17</v>
      </c>
      <c r="D1636" s="1">
        <v>42369</v>
      </c>
      <c r="E1636" s="2">
        <v>7360000000</v>
      </c>
      <c r="F1636" s="2">
        <v>3434000000</v>
      </c>
      <c r="G1636" s="2">
        <v>864000000</v>
      </c>
      <c r="H1636" t="s">
        <v>12</v>
      </c>
      <c r="I1636" s="2">
        <v>1738000000</v>
      </c>
      <c r="J1636" t="s">
        <v>83</v>
      </c>
      <c r="K1636" t="s">
        <v>84</v>
      </c>
      <c r="L1636">
        <f t="shared" si="25"/>
        <v>0.53342391304347825</v>
      </c>
    </row>
    <row r="1637" spans="1:12" x14ac:dyDescent="0.2">
      <c r="A1637">
        <v>1706</v>
      </c>
      <c r="B1637" t="s">
        <v>556</v>
      </c>
      <c r="C1637" t="s">
        <v>11</v>
      </c>
      <c r="D1637" s="1">
        <v>41305</v>
      </c>
      <c r="E1637" s="2">
        <v>468651000000</v>
      </c>
      <c r="F1637" s="2">
        <v>352297000000</v>
      </c>
      <c r="G1637" s="2">
        <v>88629000000</v>
      </c>
      <c r="H1637" t="s">
        <v>12</v>
      </c>
      <c r="I1637" t="s">
        <v>12</v>
      </c>
      <c r="J1637" t="s">
        <v>36</v>
      </c>
      <c r="K1637" t="s">
        <v>168</v>
      </c>
      <c r="L1637">
        <f t="shared" si="25"/>
        <v>0.24827430219929114</v>
      </c>
    </row>
    <row r="1638" spans="1:12" x14ac:dyDescent="0.2">
      <c r="A1638">
        <v>1707</v>
      </c>
      <c r="B1638" t="s">
        <v>556</v>
      </c>
      <c r="C1638" t="s">
        <v>15</v>
      </c>
      <c r="D1638" s="1">
        <v>41670</v>
      </c>
      <c r="E1638" s="2">
        <v>476294000000</v>
      </c>
      <c r="F1638" s="2">
        <v>358069000000</v>
      </c>
      <c r="G1638" s="2">
        <v>91353000000</v>
      </c>
      <c r="H1638" t="s">
        <v>12</v>
      </c>
      <c r="I1638" t="s">
        <v>12</v>
      </c>
      <c r="J1638" t="s">
        <v>36</v>
      </c>
      <c r="K1638" t="s">
        <v>168</v>
      </c>
      <c r="L1638">
        <f t="shared" si="25"/>
        <v>0.2482185372899931</v>
      </c>
    </row>
    <row r="1639" spans="1:12" x14ac:dyDescent="0.2">
      <c r="A1639">
        <v>1708</v>
      </c>
      <c r="B1639" t="s">
        <v>556</v>
      </c>
      <c r="C1639" t="s">
        <v>16</v>
      </c>
      <c r="D1639" s="1">
        <v>42035</v>
      </c>
      <c r="E1639" s="2">
        <v>485651000000</v>
      </c>
      <c r="F1639" s="2">
        <v>365086000000</v>
      </c>
      <c r="G1639" s="2">
        <v>93418000000</v>
      </c>
      <c r="H1639" t="s">
        <v>12</v>
      </c>
      <c r="I1639" t="s">
        <v>12</v>
      </c>
      <c r="J1639" t="s">
        <v>36</v>
      </c>
      <c r="K1639" t="s">
        <v>168</v>
      </c>
      <c r="L1639">
        <f t="shared" si="25"/>
        <v>0.24825440491216944</v>
      </c>
    </row>
    <row r="1640" spans="1:12" x14ac:dyDescent="0.2">
      <c r="A1640">
        <v>1709</v>
      </c>
      <c r="B1640" t="s">
        <v>556</v>
      </c>
      <c r="C1640" t="s">
        <v>17</v>
      </c>
      <c r="D1640" s="1">
        <v>42400</v>
      </c>
      <c r="E1640" s="2">
        <v>482130000000</v>
      </c>
      <c r="F1640" s="2">
        <v>360984000000</v>
      </c>
      <c r="G1640" s="2">
        <v>97041000000</v>
      </c>
      <c r="H1640" t="s">
        <v>12</v>
      </c>
      <c r="I1640" t="s">
        <v>12</v>
      </c>
      <c r="J1640" t="s">
        <v>36</v>
      </c>
      <c r="K1640" t="s">
        <v>168</v>
      </c>
      <c r="L1640">
        <f t="shared" si="25"/>
        <v>0.25127247837720112</v>
      </c>
    </row>
    <row r="1641" spans="1:12" x14ac:dyDescent="0.2">
      <c r="A1641">
        <v>1710</v>
      </c>
      <c r="B1641" t="s">
        <v>557</v>
      </c>
      <c r="C1641" t="s">
        <v>11</v>
      </c>
      <c r="D1641" s="1">
        <v>41912</v>
      </c>
      <c r="E1641" s="2">
        <v>9895100000</v>
      </c>
      <c r="F1641" s="2">
        <v>7961500000</v>
      </c>
      <c r="G1641" s="2">
        <v>937600000</v>
      </c>
      <c r="H1641" t="s">
        <v>12</v>
      </c>
      <c r="I1641" s="2">
        <v>86000000</v>
      </c>
      <c r="J1641" t="s">
        <v>59</v>
      </c>
      <c r="K1641" t="s">
        <v>96</v>
      </c>
      <c r="L1641">
        <f t="shared" si="25"/>
        <v>0.19540984931936012</v>
      </c>
    </row>
    <row r="1642" spans="1:12" x14ac:dyDescent="0.2">
      <c r="A1642">
        <v>1711</v>
      </c>
      <c r="B1642" t="s">
        <v>557</v>
      </c>
      <c r="C1642" t="s">
        <v>15</v>
      </c>
      <c r="D1642" s="1">
        <v>42277</v>
      </c>
      <c r="E1642" s="2">
        <v>11124800000</v>
      </c>
      <c r="F1642" s="2">
        <v>8986500000</v>
      </c>
      <c r="G1642" s="2">
        <v>1026100000</v>
      </c>
      <c r="H1642" t="s">
        <v>12</v>
      </c>
      <c r="I1642" s="2">
        <v>118900000</v>
      </c>
      <c r="J1642" t="s">
        <v>59</v>
      </c>
      <c r="K1642" t="s">
        <v>96</v>
      </c>
      <c r="L1642">
        <f t="shared" si="25"/>
        <v>0.19221019703725006</v>
      </c>
    </row>
    <row r="1643" spans="1:12" x14ac:dyDescent="0.2">
      <c r="A1643">
        <v>1712</v>
      </c>
      <c r="B1643" t="s">
        <v>557</v>
      </c>
      <c r="C1643" t="s">
        <v>16</v>
      </c>
      <c r="D1643" s="1">
        <v>42643</v>
      </c>
      <c r="E1643" s="2">
        <v>14171800000</v>
      </c>
      <c r="F1643" s="2">
        <v>11413200000</v>
      </c>
      <c r="G1643" s="2">
        <v>1750100000</v>
      </c>
      <c r="H1643" t="s">
        <v>12</v>
      </c>
      <c r="I1643" s="2">
        <v>211800000</v>
      </c>
      <c r="J1643" t="s">
        <v>59</v>
      </c>
      <c r="K1643" t="s">
        <v>96</v>
      </c>
      <c r="L1643">
        <f t="shared" si="25"/>
        <v>0.19465417237048221</v>
      </c>
    </row>
    <row r="1644" spans="1:12" x14ac:dyDescent="0.2">
      <c r="A1644">
        <v>1713</v>
      </c>
      <c r="B1644" t="s">
        <v>558</v>
      </c>
      <c r="C1644" t="s">
        <v>11</v>
      </c>
      <c r="D1644" s="1">
        <v>41274</v>
      </c>
      <c r="E1644" s="2">
        <v>5664800000</v>
      </c>
      <c r="F1644" s="2">
        <v>3194200000</v>
      </c>
      <c r="G1644" s="2">
        <v>1140600000</v>
      </c>
      <c r="H1644" t="s">
        <v>12</v>
      </c>
      <c r="I1644" t="s">
        <v>12</v>
      </c>
      <c r="J1644" t="s">
        <v>22</v>
      </c>
      <c r="K1644" t="s">
        <v>57</v>
      </c>
      <c r="L1644">
        <f t="shared" si="25"/>
        <v>0.43613190227369014</v>
      </c>
    </row>
    <row r="1645" spans="1:12" x14ac:dyDescent="0.2">
      <c r="A1645">
        <v>1714</v>
      </c>
      <c r="B1645" t="s">
        <v>558</v>
      </c>
      <c r="C1645" t="s">
        <v>15</v>
      </c>
      <c r="D1645" s="1">
        <v>41639</v>
      </c>
      <c r="E1645" s="2">
        <v>5542000000</v>
      </c>
      <c r="F1645" s="2">
        <v>3235000000</v>
      </c>
      <c r="G1645" s="2">
        <v>1199600000</v>
      </c>
      <c r="H1645" t="s">
        <v>12</v>
      </c>
      <c r="I1645" t="s">
        <v>12</v>
      </c>
      <c r="J1645" t="s">
        <v>22</v>
      </c>
      <c r="K1645" t="s">
        <v>57</v>
      </c>
      <c r="L1645">
        <f t="shared" si="25"/>
        <v>0.41627571273908337</v>
      </c>
    </row>
    <row r="1646" spans="1:12" x14ac:dyDescent="0.2">
      <c r="A1646">
        <v>1715</v>
      </c>
      <c r="B1646" t="s">
        <v>558</v>
      </c>
      <c r="C1646" t="s">
        <v>16</v>
      </c>
      <c r="D1646" s="1">
        <v>42004</v>
      </c>
      <c r="E1646" s="2">
        <v>5607200000</v>
      </c>
      <c r="F1646" s="2">
        <v>3297400000</v>
      </c>
      <c r="G1646" s="2">
        <v>1169300000</v>
      </c>
      <c r="H1646" t="s">
        <v>12</v>
      </c>
      <c r="I1646" t="s">
        <v>12</v>
      </c>
      <c r="J1646" t="s">
        <v>22</v>
      </c>
      <c r="K1646" t="s">
        <v>57</v>
      </c>
      <c r="L1646">
        <f t="shared" si="25"/>
        <v>0.4119346554430019</v>
      </c>
    </row>
    <row r="1647" spans="1:12" x14ac:dyDescent="0.2">
      <c r="A1647">
        <v>1716</v>
      </c>
      <c r="B1647" t="s">
        <v>558</v>
      </c>
      <c r="C1647" t="s">
        <v>17</v>
      </c>
      <c r="D1647" s="1">
        <v>42369</v>
      </c>
      <c r="E1647" s="2">
        <v>5483700000</v>
      </c>
      <c r="F1647" s="2">
        <v>3199400000</v>
      </c>
      <c r="G1647" s="2">
        <v>1174900000</v>
      </c>
      <c r="H1647" t="s">
        <v>12</v>
      </c>
      <c r="I1647" t="s">
        <v>12</v>
      </c>
      <c r="J1647" t="s">
        <v>22</v>
      </c>
      <c r="K1647" t="s">
        <v>57</v>
      </c>
      <c r="L1647">
        <f t="shared" si="25"/>
        <v>0.41656181045644369</v>
      </c>
    </row>
    <row r="1648" spans="1:12" x14ac:dyDescent="0.2">
      <c r="A1648">
        <v>1717</v>
      </c>
      <c r="B1648" t="s">
        <v>559</v>
      </c>
      <c r="C1648" t="s">
        <v>11</v>
      </c>
      <c r="D1648" s="1">
        <v>41274</v>
      </c>
      <c r="E1648" s="2">
        <v>5989000000</v>
      </c>
      <c r="F1648" s="2">
        <v>4993000000</v>
      </c>
      <c r="G1648" s="2">
        <v>320000000</v>
      </c>
      <c r="H1648" s="2">
        <v>32000000</v>
      </c>
      <c r="I1648" t="s">
        <v>12</v>
      </c>
      <c r="J1648" t="s">
        <v>52</v>
      </c>
      <c r="K1648" t="s">
        <v>53</v>
      </c>
      <c r="L1648">
        <f t="shared" si="25"/>
        <v>0.16630489230255463</v>
      </c>
    </row>
    <row r="1649" spans="1:12" x14ac:dyDescent="0.2">
      <c r="A1649">
        <v>1718</v>
      </c>
      <c r="B1649" t="s">
        <v>559</v>
      </c>
      <c r="C1649" t="s">
        <v>15</v>
      </c>
      <c r="D1649" s="1">
        <v>41639</v>
      </c>
      <c r="E1649" s="2">
        <v>7254000000</v>
      </c>
      <c r="F1649" s="2">
        <v>5716000000</v>
      </c>
      <c r="G1649" s="2">
        <v>494000000</v>
      </c>
      <c r="H1649" s="2">
        <v>33000000</v>
      </c>
      <c r="I1649" t="s">
        <v>12</v>
      </c>
      <c r="J1649" t="s">
        <v>52</v>
      </c>
      <c r="K1649" t="s">
        <v>53</v>
      </c>
      <c r="L1649">
        <f t="shared" si="25"/>
        <v>0.21202095395643783</v>
      </c>
    </row>
    <row r="1650" spans="1:12" x14ac:dyDescent="0.2">
      <c r="A1650">
        <v>1719</v>
      </c>
      <c r="B1650" t="s">
        <v>559</v>
      </c>
      <c r="C1650" t="s">
        <v>16</v>
      </c>
      <c r="D1650" s="1">
        <v>42004</v>
      </c>
      <c r="E1650" s="2">
        <v>7403000000</v>
      </c>
      <c r="F1650" s="2">
        <v>5763000000</v>
      </c>
      <c r="G1650" s="2">
        <v>249000000</v>
      </c>
      <c r="H1650" s="2">
        <v>27000000</v>
      </c>
      <c r="I1650" t="s">
        <v>12</v>
      </c>
      <c r="J1650" t="s">
        <v>52</v>
      </c>
      <c r="K1650" t="s">
        <v>53</v>
      </c>
      <c r="L1650">
        <f t="shared" si="25"/>
        <v>0.22153181142779954</v>
      </c>
    </row>
    <row r="1651" spans="1:12" x14ac:dyDescent="0.2">
      <c r="A1651">
        <v>1720</v>
      </c>
      <c r="B1651" t="s">
        <v>559</v>
      </c>
      <c r="C1651" t="s">
        <v>17</v>
      </c>
      <c r="D1651" s="1">
        <v>42369</v>
      </c>
      <c r="E1651" s="2">
        <v>7082000000</v>
      </c>
      <c r="F1651" s="2">
        <v>5694000000</v>
      </c>
      <c r="G1651" s="2">
        <v>420000000</v>
      </c>
      <c r="H1651" s="2">
        <v>24000000</v>
      </c>
      <c r="I1651" t="s">
        <v>12</v>
      </c>
      <c r="J1651" t="s">
        <v>52</v>
      </c>
      <c r="K1651" t="s">
        <v>53</v>
      </c>
      <c r="L1651">
        <f t="shared" si="25"/>
        <v>0.19598983338040099</v>
      </c>
    </row>
    <row r="1652" spans="1:12" x14ac:dyDescent="0.2">
      <c r="A1652">
        <v>1721</v>
      </c>
      <c r="B1652" t="s">
        <v>560</v>
      </c>
      <c r="C1652" t="s">
        <v>11</v>
      </c>
      <c r="D1652" s="1">
        <v>41274</v>
      </c>
      <c r="E1652" s="2">
        <v>4534000000</v>
      </c>
      <c r="F1652" s="2">
        <v>2093000000</v>
      </c>
      <c r="G1652" s="2">
        <v>1389000000</v>
      </c>
      <c r="H1652" t="s">
        <v>12</v>
      </c>
      <c r="I1652" s="2">
        <v>185000000</v>
      </c>
      <c r="J1652" t="s">
        <v>19</v>
      </c>
      <c r="K1652" t="s">
        <v>133</v>
      </c>
      <c r="L1652">
        <f t="shared" si="25"/>
        <v>0.53837670930745474</v>
      </c>
    </row>
    <row r="1653" spans="1:12" x14ac:dyDescent="0.2">
      <c r="A1653">
        <v>1722</v>
      </c>
      <c r="B1653" t="s">
        <v>560</v>
      </c>
      <c r="C1653" t="s">
        <v>15</v>
      </c>
      <c r="D1653" s="1">
        <v>41639</v>
      </c>
      <c r="E1653" s="2">
        <v>5009000000</v>
      </c>
      <c r="F1653" s="2">
        <v>2394000000</v>
      </c>
      <c r="G1653" s="2">
        <v>1471000000</v>
      </c>
      <c r="H1653" t="s">
        <v>12</v>
      </c>
      <c r="I1653" s="2">
        <v>216000000</v>
      </c>
      <c r="J1653" t="s">
        <v>19</v>
      </c>
      <c r="K1653" t="s">
        <v>133</v>
      </c>
      <c r="L1653">
        <f t="shared" si="25"/>
        <v>0.52206029147534438</v>
      </c>
    </row>
    <row r="1654" spans="1:12" x14ac:dyDescent="0.2">
      <c r="A1654">
        <v>1723</v>
      </c>
      <c r="B1654" t="s">
        <v>560</v>
      </c>
      <c r="C1654" t="s">
        <v>16</v>
      </c>
      <c r="D1654" s="1">
        <v>42004</v>
      </c>
      <c r="E1654" s="2">
        <v>5281000000</v>
      </c>
      <c r="F1654" s="2">
        <v>2504000000</v>
      </c>
      <c r="G1654" s="2">
        <v>1557000000</v>
      </c>
      <c r="H1654" t="s">
        <v>12</v>
      </c>
      <c r="I1654" s="2">
        <v>233000000</v>
      </c>
      <c r="J1654" t="s">
        <v>19</v>
      </c>
      <c r="K1654" t="s">
        <v>133</v>
      </c>
      <c r="L1654">
        <f t="shared" si="25"/>
        <v>0.52584737739064569</v>
      </c>
    </row>
    <row r="1655" spans="1:12" x14ac:dyDescent="0.2">
      <c r="A1655">
        <v>1724</v>
      </c>
      <c r="B1655" t="s">
        <v>560</v>
      </c>
      <c r="C1655" t="s">
        <v>17</v>
      </c>
      <c r="D1655" s="1">
        <v>42369</v>
      </c>
      <c r="E1655" s="2">
        <v>5536000000</v>
      </c>
      <c r="F1655" s="2">
        <v>2700000000</v>
      </c>
      <c r="G1655" s="2">
        <v>1574000000</v>
      </c>
      <c r="H1655" t="s">
        <v>12</v>
      </c>
      <c r="I1655" s="2">
        <v>234000000</v>
      </c>
      <c r="J1655" t="s">
        <v>19</v>
      </c>
      <c r="K1655" t="s">
        <v>133</v>
      </c>
      <c r="L1655">
        <f t="shared" si="25"/>
        <v>0.51228323699421963</v>
      </c>
    </row>
    <row r="1656" spans="1:12" x14ac:dyDescent="0.2">
      <c r="A1656">
        <v>1725</v>
      </c>
      <c r="B1656" t="s">
        <v>561</v>
      </c>
      <c r="C1656" t="s">
        <v>11</v>
      </c>
      <c r="D1656" s="1">
        <v>41274</v>
      </c>
      <c r="E1656" s="2">
        <v>5154284000</v>
      </c>
      <c r="F1656" s="2">
        <v>3251575000</v>
      </c>
      <c r="G1656" s="2">
        <v>481677000</v>
      </c>
      <c r="H1656" t="s">
        <v>12</v>
      </c>
      <c r="I1656" s="2">
        <v>373199000</v>
      </c>
      <c r="J1656" t="s">
        <v>19</v>
      </c>
      <c r="K1656" t="s">
        <v>562</v>
      </c>
      <c r="L1656">
        <f t="shared" si="25"/>
        <v>0.36915098197926233</v>
      </c>
    </row>
    <row r="1657" spans="1:12" x14ac:dyDescent="0.2">
      <c r="A1657">
        <v>1726</v>
      </c>
      <c r="B1657" t="s">
        <v>561</v>
      </c>
      <c r="C1657" t="s">
        <v>15</v>
      </c>
      <c r="D1657" s="1">
        <v>41639</v>
      </c>
      <c r="E1657" s="2">
        <v>5620936000</v>
      </c>
      <c r="F1657" s="2">
        <v>3478822000</v>
      </c>
      <c r="G1657" s="2">
        <v>465926000</v>
      </c>
      <c r="H1657" t="s">
        <v>12</v>
      </c>
      <c r="I1657" s="2">
        <v>371051000</v>
      </c>
      <c r="J1657" t="s">
        <v>19</v>
      </c>
      <c r="K1657" t="s">
        <v>562</v>
      </c>
      <c r="L1657">
        <f t="shared" si="25"/>
        <v>0.38109560400616549</v>
      </c>
    </row>
    <row r="1658" spans="1:12" x14ac:dyDescent="0.2">
      <c r="A1658">
        <v>1727</v>
      </c>
      <c r="B1658" t="s">
        <v>561</v>
      </c>
      <c r="C1658" t="s">
        <v>16</v>
      </c>
      <c r="D1658" s="1">
        <v>42004</v>
      </c>
      <c r="E1658" s="2">
        <v>5433661000</v>
      </c>
      <c r="F1658" s="2">
        <v>3316311000</v>
      </c>
      <c r="G1658" s="2">
        <v>502901000</v>
      </c>
      <c r="H1658" t="s">
        <v>12</v>
      </c>
      <c r="I1658" s="2">
        <v>314119000</v>
      </c>
      <c r="J1658" t="s">
        <v>19</v>
      </c>
      <c r="K1658" t="s">
        <v>562</v>
      </c>
      <c r="L1658">
        <f t="shared" si="25"/>
        <v>0.38967281911771823</v>
      </c>
    </row>
    <row r="1659" spans="1:12" x14ac:dyDescent="0.2">
      <c r="A1659">
        <v>1728</v>
      </c>
      <c r="B1659" t="s">
        <v>561</v>
      </c>
      <c r="C1659" t="s">
        <v>17</v>
      </c>
      <c r="D1659" s="1">
        <v>42369</v>
      </c>
      <c r="E1659" s="2">
        <v>4075883000</v>
      </c>
      <c r="F1659" s="2">
        <v>2530374000</v>
      </c>
      <c r="G1659" s="2">
        <v>475328000</v>
      </c>
      <c r="H1659" t="s">
        <v>12</v>
      </c>
      <c r="I1659" s="2">
        <v>322629000</v>
      </c>
      <c r="J1659" t="s">
        <v>19</v>
      </c>
      <c r="K1659" t="s">
        <v>562</v>
      </c>
      <c r="L1659">
        <f t="shared" si="25"/>
        <v>0.37918384801526439</v>
      </c>
    </row>
    <row r="1660" spans="1:12" x14ac:dyDescent="0.2">
      <c r="A1660">
        <v>1729</v>
      </c>
      <c r="B1660" t="s">
        <v>563</v>
      </c>
      <c r="C1660" t="s">
        <v>11</v>
      </c>
      <c r="D1660" s="1">
        <v>41274</v>
      </c>
      <c r="E1660" s="2">
        <v>1623938000</v>
      </c>
      <c r="F1660" s="2">
        <v>337903000</v>
      </c>
      <c r="G1660" s="2">
        <v>188302000</v>
      </c>
      <c r="H1660" t="s">
        <v>12</v>
      </c>
      <c r="I1660" s="2">
        <v>513916000</v>
      </c>
      <c r="J1660" t="s">
        <v>83</v>
      </c>
      <c r="K1660" t="s">
        <v>84</v>
      </c>
      <c r="L1660">
        <f t="shared" si="25"/>
        <v>0.79192370644692101</v>
      </c>
    </row>
    <row r="1661" spans="1:12" x14ac:dyDescent="0.2">
      <c r="A1661">
        <v>1730</v>
      </c>
      <c r="B1661" t="s">
        <v>563</v>
      </c>
      <c r="C1661" t="s">
        <v>15</v>
      </c>
      <c r="D1661" s="1">
        <v>41639</v>
      </c>
      <c r="E1661" s="2">
        <v>1998051000</v>
      </c>
      <c r="F1661" s="2">
        <v>406198000</v>
      </c>
      <c r="G1661" s="2">
        <v>72143000</v>
      </c>
      <c r="H1661" t="s">
        <v>12</v>
      </c>
      <c r="I1661" s="2">
        <v>615874000</v>
      </c>
      <c r="J1661" t="s">
        <v>83</v>
      </c>
      <c r="K1661" t="s">
        <v>84</v>
      </c>
      <c r="L1661">
        <f t="shared" si="25"/>
        <v>0.79670288696334579</v>
      </c>
    </row>
    <row r="1662" spans="1:12" x14ac:dyDescent="0.2">
      <c r="A1662">
        <v>1731</v>
      </c>
      <c r="B1662" t="s">
        <v>563</v>
      </c>
      <c r="C1662" t="s">
        <v>16</v>
      </c>
      <c r="D1662" s="1">
        <v>42004</v>
      </c>
      <c r="E1662" s="2">
        <v>2424176000</v>
      </c>
      <c r="F1662" s="2">
        <v>572831000</v>
      </c>
      <c r="G1662" s="2">
        <v>225070000</v>
      </c>
      <c r="H1662" t="s">
        <v>12</v>
      </c>
      <c r="I1662" s="2">
        <v>806021000</v>
      </c>
      <c r="J1662" t="s">
        <v>83</v>
      </c>
      <c r="K1662" t="s">
        <v>84</v>
      </c>
      <c r="L1662">
        <f t="shared" si="25"/>
        <v>0.76370073790021853</v>
      </c>
    </row>
    <row r="1663" spans="1:12" x14ac:dyDescent="0.2">
      <c r="A1663">
        <v>1732</v>
      </c>
      <c r="B1663" t="s">
        <v>563</v>
      </c>
      <c r="C1663" t="s">
        <v>17</v>
      </c>
      <c r="D1663" s="1">
        <v>42369</v>
      </c>
      <c r="E1663" s="2">
        <v>1452619000</v>
      </c>
      <c r="F1663" s="2">
        <v>519874000</v>
      </c>
      <c r="G1663" s="2">
        <v>179867000</v>
      </c>
      <c r="H1663" t="s">
        <v>12</v>
      </c>
      <c r="I1663" s="2">
        <v>778923000</v>
      </c>
      <c r="J1663" t="s">
        <v>83</v>
      </c>
      <c r="K1663" t="s">
        <v>84</v>
      </c>
      <c r="L1663">
        <f t="shared" si="25"/>
        <v>0.6421126255404892</v>
      </c>
    </row>
    <row r="1664" spans="1:12" x14ac:dyDescent="0.2">
      <c r="A1664">
        <v>1733</v>
      </c>
      <c r="B1664" t="s">
        <v>564</v>
      </c>
      <c r="C1664" t="s">
        <v>11</v>
      </c>
      <c r="D1664" s="1">
        <v>41274</v>
      </c>
      <c r="E1664" s="2">
        <v>10128223000</v>
      </c>
      <c r="F1664" s="2">
        <v>6710036000</v>
      </c>
      <c r="G1664" s="2">
        <v>669451000</v>
      </c>
      <c r="H1664" t="s">
        <v>12</v>
      </c>
      <c r="I1664" s="2">
        <v>926053000</v>
      </c>
      <c r="J1664" t="s">
        <v>42</v>
      </c>
      <c r="K1664" t="s">
        <v>43</v>
      </c>
      <c r="L1664">
        <f t="shared" si="25"/>
        <v>0.3374912854900608</v>
      </c>
    </row>
    <row r="1665" spans="1:12" x14ac:dyDescent="0.2">
      <c r="A1665">
        <v>1734</v>
      </c>
      <c r="B1665" t="s">
        <v>564</v>
      </c>
      <c r="C1665" t="s">
        <v>15</v>
      </c>
      <c r="D1665" s="1">
        <v>41639</v>
      </c>
      <c r="E1665" s="2">
        <v>10914922000</v>
      </c>
      <c r="F1665" s="2">
        <v>7408278000</v>
      </c>
      <c r="G1665" s="2">
        <v>681226000</v>
      </c>
      <c r="H1665" t="s">
        <v>12</v>
      </c>
      <c r="I1665" s="2">
        <v>977863000</v>
      </c>
      <c r="J1665" t="s">
        <v>42</v>
      </c>
      <c r="K1665" t="s">
        <v>43</v>
      </c>
      <c r="L1665">
        <f t="shared" si="25"/>
        <v>0.32127064215392465</v>
      </c>
    </row>
    <row r="1666" spans="1:12" x14ac:dyDescent="0.2">
      <c r="A1666">
        <v>1735</v>
      </c>
      <c r="B1666" t="s">
        <v>564</v>
      </c>
      <c r="C1666" t="s">
        <v>16</v>
      </c>
      <c r="D1666" s="1">
        <v>42004</v>
      </c>
      <c r="E1666" s="2">
        <v>11686135000</v>
      </c>
      <c r="F1666" s="2">
        <v>7951352000</v>
      </c>
      <c r="G1666" s="2">
        <v>767608000</v>
      </c>
      <c r="H1666" t="s">
        <v>12</v>
      </c>
      <c r="I1666" s="2">
        <v>1019045000</v>
      </c>
      <c r="J1666" t="s">
        <v>42</v>
      </c>
      <c r="K1666" t="s">
        <v>43</v>
      </c>
      <c r="L1666">
        <f t="shared" si="25"/>
        <v>0.31959095115707636</v>
      </c>
    </row>
    <row r="1667" spans="1:12" x14ac:dyDescent="0.2">
      <c r="A1667">
        <v>1736</v>
      </c>
      <c r="B1667" t="s">
        <v>564</v>
      </c>
      <c r="C1667" t="s">
        <v>17</v>
      </c>
      <c r="D1667" s="1">
        <v>42369</v>
      </c>
      <c r="E1667" s="2">
        <v>11024486000</v>
      </c>
      <c r="F1667" s="2">
        <v>7033633000</v>
      </c>
      <c r="G1667" s="2">
        <v>865817000</v>
      </c>
      <c r="H1667" t="s">
        <v>12</v>
      </c>
      <c r="I1667" s="2">
        <v>1124524000</v>
      </c>
      <c r="J1667" t="s">
        <v>42</v>
      </c>
      <c r="K1667" t="s">
        <v>43</v>
      </c>
      <c r="L1667">
        <f t="shared" ref="L1667:L1711" si="26">1-F1667/E1667</f>
        <v>0.36199900838914389</v>
      </c>
    </row>
    <row r="1668" spans="1:12" x14ac:dyDescent="0.2">
      <c r="A1668">
        <v>1737</v>
      </c>
      <c r="B1668" t="s">
        <v>565</v>
      </c>
      <c r="C1668" t="s">
        <v>11</v>
      </c>
      <c r="D1668" s="1">
        <v>41274</v>
      </c>
      <c r="E1668" s="2">
        <v>7232397000</v>
      </c>
      <c r="F1668" s="2">
        <v>5165169000</v>
      </c>
      <c r="G1668" t="s">
        <v>12</v>
      </c>
      <c r="H1668" t="s">
        <v>12</v>
      </c>
      <c r="I1668" s="2">
        <v>1173955000</v>
      </c>
      <c r="J1668" t="s">
        <v>47</v>
      </c>
      <c r="K1668" t="s">
        <v>50</v>
      </c>
      <c r="L1668">
        <f t="shared" si="26"/>
        <v>0.28582888909444548</v>
      </c>
    </row>
    <row r="1669" spans="1:12" x14ac:dyDescent="0.2">
      <c r="A1669">
        <v>1738</v>
      </c>
      <c r="B1669" t="s">
        <v>565</v>
      </c>
      <c r="C1669" t="s">
        <v>15</v>
      </c>
      <c r="D1669" s="1">
        <v>41639</v>
      </c>
      <c r="E1669" s="2">
        <v>7541234000</v>
      </c>
      <c r="F1669" s="2">
        <v>5106489000</v>
      </c>
      <c r="G1669" t="s">
        <v>12</v>
      </c>
      <c r="H1669" t="s">
        <v>12</v>
      </c>
      <c r="I1669" s="2">
        <v>1213178000</v>
      </c>
      <c r="J1669" t="s">
        <v>47</v>
      </c>
      <c r="K1669" t="s">
        <v>50</v>
      </c>
      <c r="L1669">
        <f t="shared" si="26"/>
        <v>0.32285763841832782</v>
      </c>
    </row>
    <row r="1670" spans="1:12" x14ac:dyDescent="0.2">
      <c r="A1670">
        <v>1739</v>
      </c>
      <c r="B1670" t="s">
        <v>565</v>
      </c>
      <c r="C1670" t="s">
        <v>16</v>
      </c>
      <c r="D1670" s="1">
        <v>42004</v>
      </c>
      <c r="E1670" s="2">
        <v>6602267000</v>
      </c>
      <c r="F1670" s="2">
        <v>4239474000</v>
      </c>
      <c r="G1670" t="s">
        <v>12</v>
      </c>
      <c r="H1670" t="s">
        <v>12</v>
      </c>
      <c r="I1670" s="2">
        <v>1341315000</v>
      </c>
      <c r="J1670" t="s">
        <v>47</v>
      </c>
      <c r="K1670" t="s">
        <v>50</v>
      </c>
      <c r="L1670">
        <f t="shared" si="26"/>
        <v>0.35787601440535499</v>
      </c>
    </row>
    <row r="1671" spans="1:12" x14ac:dyDescent="0.2">
      <c r="A1671">
        <v>1740</v>
      </c>
      <c r="B1671" t="s">
        <v>565</v>
      </c>
      <c r="C1671" t="s">
        <v>17</v>
      </c>
      <c r="D1671" s="1">
        <v>42369</v>
      </c>
      <c r="E1671" s="2">
        <v>9308926000</v>
      </c>
      <c r="F1671" s="2">
        <v>6199645000</v>
      </c>
      <c r="G1671" t="s">
        <v>12</v>
      </c>
      <c r="H1671" t="s">
        <v>12</v>
      </c>
      <c r="I1671" s="2">
        <v>1966939000</v>
      </c>
      <c r="J1671" t="s">
        <v>47</v>
      </c>
      <c r="K1671" t="s">
        <v>50</v>
      </c>
      <c r="L1671">
        <f t="shared" si="26"/>
        <v>0.33401071186944664</v>
      </c>
    </row>
    <row r="1672" spans="1:12" x14ac:dyDescent="0.2">
      <c r="A1672">
        <v>1741</v>
      </c>
      <c r="B1672" t="s">
        <v>566</v>
      </c>
      <c r="C1672" t="s">
        <v>11</v>
      </c>
      <c r="D1672" s="1">
        <v>41363</v>
      </c>
      <c r="E1672" s="2">
        <v>2168652000</v>
      </c>
      <c r="F1672" s="2">
        <v>737206000</v>
      </c>
      <c r="G1672" s="2">
        <v>365684000</v>
      </c>
      <c r="H1672" s="2">
        <v>475522000</v>
      </c>
      <c r="I1672" s="2">
        <v>9508000</v>
      </c>
      <c r="J1672" t="s">
        <v>22</v>
      </c>
      <c r="K1672" t="s">
        <v>34</v>
      </c>
      <c r="L1672">
        <f t="shared" si="26"/>
        <v>0.66006256421039433</v>
      </c>
    </row>
    <row r="1673" spans="1:12" x14ac:dyDescent="0.2">
      <c r="A1673">
        <v>1742</v>
      </c>
      <c r="B1673" t="s">
        <v>566</v>
      </c>
      <c r="C1673" t="s">
        <v>15</v>
      </c>
      <c r="D1673" s="1">
        <v>41727</v>
      </c>
      <c r="E1673" s="2">
        <v>2382531000</v>
      </c>
      <c r="F1673" s="2">
        <v>743253000</v>
      </c>
      <c r="G1673" s="2">
        <v>378607000</v>
      </c>
      <c r="H1673" s="2">
        <v>492447000</v>
      </c>
      <c r="I1673" s="2">
        <v>9887000</v>
      </c>
      <c r="J1673" t="s">
        <v>22</v>
      </c>
      <c r="K1673" t="s">
        <v>34</v>
      </c>
      <c r="L1673">
        <f t="shared" si="26"/>
        <v>0.68804057533773955</v>
      </c>
    </row>
    <row r="1674" spans="1:12" x14ac:dyDescent="0.2">
      <c r="A1674">
        <v>1743</v>
      </c>
      <c r="B1674" t="s">
        <v>566</v>
      </c>
      <c r="C1674" t="s">
        <v>16</v>
      </c>
      <c r="D1674" s="1">
        <v>42091</v>
      </c>
      <c r="E1674" s="2">
        <v>2377344000</v>
      </c>
      <c r="F1674" s="2">
        <v>708823000</v>
      </c>
      <c r="G1674" s="2">
        <v>353670000</v>
      </c>
      <c r="H1674" s="2">
        <v>525745000</v>
      </c>
      <c r="I1674" s="2">
        <v>9537000</v>
      </c>
      <c r="J1674" t="s">
        <v>22</v>
      </c>
      <c r="K1674" t="s">
        <v>34</v>
      </c>
      <c r="L1674">
        <f t="shared" si="26"/>
        <v>0.70184247630969687</v>
      </c>
    </row>
    <row r="1675" spans="1:12" x14ac:dyDescent="0.2">
      <c r="A1675">
        <v>1744</v>
      </c>
      <c r="B1675" t="s">
        <v>566</v>
      </c>
      <c r="C1675" t="s">
        <v>17</v>
      </c>
      <c r="D1675" s="1">
        <v>42462</v>
      </c>
      <c r="E1675" s="2">
        <v>2213881000</v>
      </c>
      <c r="F1675" s="2">
        <v>671907000</v>
      </c>
      <c r="G1675" s="2">
        <v>331652000</v>
      </c>
      <c r="H1675" s="2">
        <v>533891000</v>
      </c>
      <c r="I1675" s="2">
        <v>6550000</v>
      </c>
      <c r="J1675" t="s">
        <v>22</v>
      </c>
      <c r="K1675" t="s">
        <v>34</v>
      </c>
      <c r="L1675">
        <f t="shared" si="26"/>
        <v>0.69650265755024776</v>
      </c>
    </row>
    <row r="1676" spans="1:12" x14ac:dyDescent="0.2">
      <c r="A1676">
        <v>1745</v>
      </c>
      <c r="B1676" t="s">
        <v>567</v>
      </c>
      <c r="C1676" t="s">
        <v>11</v>
      </c>
      <c r="D1676" s="1">
        <v>41274</v>
      </c>
      <c r="E1676" s="2">
        <v>451509000000</v>
      </c>
      <c r="F1676" s="2">
        <v>302056000000</v>
      </c>
      <c r="G1676" s="2">
        <v>81844000000</v>
      </c>
      <c r="H1676" t="s">
        <v>12</v>
      </c>
      <c r="I1676" s="2">
        <v>15888000000</v>
      </c>
      <c r="J1676" t="s">
        <v>83</v>
      </c>
      <c r="K1676" t="s">
        <v>144</v>
      </c>
      <c r="L1676">
        <f t="shared" si="26"/>
        <v>0.33100779829416471</v>
      </c>
    </row>
    <row r="1677" spans="1:12" x14ac:dyDescent="0.2">
      <c r="A1677">
        <v>1746</v>
      </c>
      <c r="B1677" t="s">
        <v>567</v>
      </c>
      <c r="C1677" t="s">
        <v>15</v>
      </c>
      <c r="D1677" s="1">
        <v>41639</v>
      </c>
      <c r="E1677" s="2">
        <v>420836000000</v>
      </c>
      <c r="F1677" s="2">
        <v>284681000000</v>
      </c>
      <c r="G1677" s="2">
        <v>76696000000</v>
      </c>
      <c r="H1677" t="s">
        <v>12</v>
      </c>
      <c r="I1677" s="2">
        <v>17182000000</v>
      </c>
      <c r="J1677" t="s">
        <v>83</v>
      </c>
      <c r="K1677" t="s">
        <v>144</v>
      </c>
      <c r="L1677">
        <f t="shared" si="26"/>
        <v>0.32353458354323295</v>
      </c>
    </row>
    <row r="1678" spans="1:12" x14ac:dyDescent="0.2">
      <c r="A1678">
        <v>1747</v>
      </c>
      <c r="B1678" t="s">
        <v>567</v>
      </c>
      <c r="C1678" t="s">
        <v>16</v>
      </c>
      <c r="D1678" s="1">
        <v>42004</v>
      </c>
      <c r="E1678" s="2">
        <v>394105000000</v>
      </c>
      <c r="F1678" s="2">
        <v>266831000000</v>
      </c>
      <c r="G1678" s="2">
        <v>74226000000</v>
      </c>
      <c r="H1678" t="s">
        <v>12</v>
      </c>
      <c r="I1678" s="2">
        <v>17297000000</v>
      </c>
      <c r="J1678" t="s">
        <v>83</v>
      </c>
      <c r="K1678" t="s">
        <v>144</v>
      </c>
      <c r="L1678">
        <f t="shared" si="26"/>
        <v>0.3229443929917154</v>
      </c>
    </row>
    <row r="1679" spans="1:12" x14ac:dyDescent="0.2">
      <c r="A1679">
        <v>1748</v>
      </c>
      <c r="B1679" t="s">
        <v>567</v>
      </c>
      <c r="C1679" t="s">
        <v>17</v>
      </c>
      <c r="D1679" s="1">
        <v>42369</v>
      </c>
      <c r="E1679" s="2">
        <v>259488000000</v>
      </c>
      <c r="F1679" s="2">
        <v>165590000000</v>
      </c>
      <c r="G1679" s="2">
        <v>61444000000</v>
      </c>
      <c r="H1679" t="s">
        <v>12</v>
      </c>
      <c r="I1679" s="2">
        <v>18048000000</v>
      </c>
      <c r="J1679" t="s">
        <v>83</v>
      </c>
      <c r="K1679" t="s">
        <v>144</v>
      </c>
      <c r="L1679">
        <f t="shared" si="26"/>
        <v>0.36185873720557404</v>
      </c>
    </row>
    <row r="1680" spans="1:12" x14ac:dyDescent="0.2">
      <c r="A1680">
        <v>1749</v>
      </c>
      <c r="B1680" t="s">
        <v>568</v>
      </c>
      <c r="C1680" t="s">
        <v>11</v>
      </c>
      <c r="D1680" s="1">
        <v>41274</v>
      </c>
      <c r="E1680" s="2">
        <v>2928429000</v>
      </c>
      <c r="F1680" s="2">
        <v>1372042000</v>
      </c>
      <c r="G1680" s="2">
        <v>1148731000</v>
      </c>
      <c r="H1680" t="s">
        <v>12</v>
      </c>
      <c r="I1680" t="s">
        <v>12</v>
      </c>
      <c r="J1680" t="s">
        <v>25</v>
      </c>
      <c r="K1680" t="s">
        <v>166</v>
      </c>
      <c r="L1680">
        <f t="shared" si="26"/>
        <v>0.53147506734839745</v>
      </c>
    </row>
    <row r="1681" spans="1:12" x14ac:dyDescent="0.2">
      <c r="A1681">
        <v>1750</v>
      </c>
      <c r="B1681" t="s">
        <v>568</v>
      </c>
      <c r="C1681" t="s">
        <v>15</v>
      </c>
      <c r="D1681" s="1">
        <v>41639</v>
      </c>
      <c r="E1681" s="2">
        <v>2950800000</v>
      </c>
      <c r="F1681" s="2">
        <v>1373400000</v>
      </c>
      <c r="G1681" s="2">
        <v>1144800000</v>
      </c>
      <c r="H1681" t="s">
        <v>12</v>
      </c>
      <c r="I1681" t="s">
        <v>12</v>
      </c>
      <c r="J1681" t="s">
        <v>25</v>
      </c>
      <c r="K1681" t="s">
        <v>166</v>
      </c>
      <c r="L1681">
        <f t="shared" si="26"/>
        <v>0.53456689711264738</v>
      </c>
    </row>
    <row r="1682" spans="1:12" x14ac:dyDescent="0.2">
      <c r="A1682">
        <v>1751</v>
      </c>
      <c r="B1682" t="s">
        <v>568</v>
      </c>
      <c r="C1682" t="s">
        <v>16</v>
      </c>
      <c r="D1682" s="1">
        <v>42004</v>
      </c>
      <c r="E1682" s="2">
        <v>2922600000</v>
      </c>
      <c r="F1682" s="2">
        <v>1322800000</v>
      </c>
      <c r="G1682" s="2">
        <v>1143100000</v>
      </c>
      <c r="H1682" t="s">
        <v>12</v>
      </c>
      <c r="I1682" t="s">
        <v>12</v>
      </c>
      <c r="J1682" t="s">
        <v>25</v>
      </c>
      <c r="K1682" t="s">
        <v>166</v>
      </c>
      <c r="L1682">
        <f t="shared" si="26"/>
        <v>0.54738931088756582</v>
      </c>
    </row>
    <row r="1683" spans="1:12" x14ac:dyDescent="0.2">
      <c r="A1683">
        <v>1752</v>
      </c>
      <c r="B1683" t="s">
        <v>568</v>
      </c>
      <c r="C1683" t="s">
        <v>17</v>
      </c>
      <c r="D1683" s="1">
        <v>42369</v>
      </c>
      <c r="E1683" s="2">
        <v>2674300000</v>
      </c>
      <c r="F1683" s="2">
        <v>1157100000</v>
      </c>
      <c r="G1683" s="2">
        <v>1077300000</v>
      </c>
      <c r="H1683" t="s">
        <v>12</v>
      </c>
      <c r="I1683" t="s">
        <v>12</v>
      </c>
      <c r="J1683" t="s">
        <v>25</v>
      </c>
      <c r="K1683" t="s">
        <v>166</v>
      </c>
      <c r="L1683">
        <f t="shared" si="26"/>
        <v>0.56732602924129671</v>
      </c>
    </row>
    <row r="1684" spans="1:12" x14ac:dyDescent="0.2">
      <c r="A1684">
        <v>1753</v>
      </c>
      <c r="B1684" t="s">
        <v>569</v>
      </c>
      <c r="C1684" t="s">
        <v>11</v>
      </c>
      <c r="D1684" s="1">
        <v>41274</v>
      </c>
      <c r="E1684" s="2">
        <v>20421000000</v>
      </c>
      <c r="F1684" s="2">
        <v>13634000000</v>
      </c>
      <c r="G1684" s="2">
        <v>4398000000</v>
      </c>
      <c r="H1684" s="2">
        <v>655000000</v>
      </c>
      <c r="I1684" s="2">
        <v>301000000</v>
      </c>
      <c r="J1684" t="s">
        <v>22</v>
      </c>
      <c r="K1684" t="s">
        <v>176</v>
      </c>
      <c r="L1684">
        <f t="shared" si="26"/>
        <v>0.33235394936584883</v>
      </c>
    </row>
    <row r="1685" spans="1:12" x14ac:dyDescent="0.2">
      <c r="A1685">
        <v>1754</v>
      </c>
      <c r="B1685" t="s">
        <v>569</v>
      </c>
      <c r="C1685" t="s">
        <v>15</v>
      </c>
      <c r="D1685" s="1">
        <v>41639</v>
      </c>
      <c r="E1685" s="2">
        <v>20006000000</v>
      </c>
      <c r="F1685" s="2">
        <v>13521000000</v>
      </c>
      <c r="G1685" s="2">
        <v>4219000000</v>
      </c>
      <c r="H1685" s="2">
        <v>603000000</v>
      </c>
      <c r="I1685" s="2">
        <v>305000000</v>
      </c>
      <c r="J1685" t="s">
        <v>22</v>
      </c>
      <c r="K1685" t="s">
        <v>176</v>
      </c>
      <c r="L1685">
        <f t="shared" si="26"/>
        <v>0.32415275417374789</v>
      </c>
    </row>
    <row r="1686" spans="1:12" x14ac:dyDescent="0.2">
      <c r="A1686">
        <v>1755</v>
      </c>
      <c r="B1686" t="s">
        <v>569</v>
      </c>
      <c r="C1686" t="s">
        <v>16</v>
      </c>
      <c r="D1686" s="1">
        <v>42004</v>
      </c>
      <c r="E1686" s="2">
        <v>19540000000</v>
      </c>
      <c r="F1686" s="2">
        <v>13294000000</v>
      </c>
      <c r="G1686" s="2">
        <v>4020000000</v>
      </c>
      <c r="H1686" s="2">
        <v>577000000</v>
      </c>
      <c r="I1686" s="2">
        <v>315000000</v>
      </c>
      <c r="J1686" t="s">
        <v>22</v>
      </c>
      <c r="K1686" t="s">
        <v>176</v>
      </c>
      <c r="L1686">
        <f t="shared" si="26"/>
        <v>0.31965199590583415</v>
      </c>
    </row>
    <row r="1687" spans="1:12" x14ac:dyDescent="0.2">
      <c r="A1687">
        <v>1756</v>
      </c>
      <c r="B1687" t="s">
        <v>569</v>
      </c>
      <c r="C1687" t="s">
        <v>17</v>
      </c>
      <c r="D1687" s="1">
        <v>42369</v>
      </c>
      <c r="E1687" s="2">
        <v>18045000000</v>
      </c>
      <c r="F1687" s="2">
        <v>12782000000</v>
      </c>
      <c r="G1687" s="2">
        <v>3792000000</v>
      </c>
      <c r="H1687" s="2">
        <v>563000000</v>
      </c>
      <c r="I1687" s="2">
        <v>310000000</v>
      </c>
      <c r="J1687" t="s">
        <v>22</v>
      </c>
      <c r="K1687" t="s">
        <v>176</v>
      </c>
      <c r="L1687">
        <f t="shared" si="26"/>
        <v>0.29165973954003876</v>
      </c>
    </row>
    <row r="1688" spans="1:12" x14ac:dyDescent="0.2">
      <c r="A1688">
        <v>1757</v>
      </c>
      <c r="B1688" t="s">
        <v>570</v>
      </c>
      <c r="C1688" t="s">
        <v>11</v>
      </c>
      <c r="D1688" s="1">
        <v>41274</v>
      </c>
      <c r="E1688" s="2">
        <v>3791000000</v>
      </c>
      <c r="F1688" s="2">
        <v>2289000000</v>
      </c>
      <c r="G1688" s="2">
        <v>936000000</v>
      </c>
      <c r="H1688" s="2">
        <v>106000000</v>
      </c>
      <c r="I1688" t="s">
        <v>12</v>
      </c>
      <c r="J1688" t="s">
        <v>13</v>
      </c>
      <c r="K1688" t="s">
        <v>164</v>
      </c>
      <c r="L1688">
        <f t="shared" si="26"/>
        <v>0.39620152993933</v>
      </c>
    </row>
    <row r="1689" spans="1:12" x14ac:dyDescent="0.2">
      <c r="A1689">
        <v>1758</v>
      </c>
      <c r="B1689" t="s">
        <v>570</v>
      </c>
      <c r="C1689" t="s">
        <v>15</v>
      </c>
      <c r="D1689" s="1">
        <v>41639</v>
      </c>
      <c r="E1689" s="2">
        <v>3837000000</v>
      </c>
      <c r="F1689" s="2">
        <v>2338000000</v>
      </c>
      <c r="G1689" s="2">
        <v>990000000</v>
      </c>
      <c r="H1689" s="2">
        <v>104000000</v>
      </c>
      <c r="I1689" t="s">
        <v>12</v>
      </c>
      <c r="J1689" t="s">
        <v>13</v>
      </c>
      <c r="K1689" t="s">
        <v>164</v>
      </c>
      <c r="L1689">
        <f t="shared" si="26"/>
        <v>0.39066979410998171</v>
      </c>
    </row>
    <row r="1690" spans="1:12" x14ac:dyDescent="0.2">
      <c r="A1690">
        <v>1759</v>
      </c>
      <c r="B1690" t="s">
        <v>570</v>
      </c>
      <c r="C1690" t="s">
        <v>16</v>
      </c>
      <c r="D1690" s="1">
        <v>42004</v>
      </c>
      <c r="E1690" s="2">
        <v>3916000000</v>
      </c>
      <c r="F1690" s="2">
        <v>2403000000</v>
      </c>
      <c r="G1690" s="2">
        <v>920000000</v>
      </c>
      <c r="H1690" s="2">
        <v>104000000</v>
      </c>
      <c r="I1690" t="s">
        <v>12</v>
      </c>
      <c r="J1690" t="s">
        <v>13</v>
      </c>
      <c r="K1690" t="s">
        <v>164</v>
      </c>
      <c r="L1690">
        <f t="shared" si="26"/>
        <v>0.38636363636363635</v>
      </c>
    </row>
    <row r="1691" spans="1:12" x14ac:dyDescent="0.2">
      <c r="A1691">
        <v>1760</v>
      </c>
      <c r="B1691" t="s">
        <v>570</v>
      </c>
      <c r="C1691" t="s">
        <v>17</v>
      </c>
      <c r="D1691" s="1">
        <v>42369</v>
      </c>
      <c r="E1691" s="2">
        <v>3653000000</v>
      </c>
      <c r="F1691" s="2">
        <v>2249000000</v>
      </c>
      <c r="G1691" s="2">
        <v>854000000</v>
      </c>
      <c r="H1691" s="2">
        <v>95000000</v>
      </c>
      <c r="I1691" t="s">
        <v>12</v>
      </c>
      <c r="J1691" t="s">
        <v>13</v>
      </c>
      <c r="K1691" t="s">
        <v>164</v>
      </c>
      <c r="L1691">
        <f t="shared" si="26"/>
        <v>0.38434163701067614</v>
      </c>
    </row>
    <row r="1692" spans="1:12" x14ac:dyDescent="0.2">
      <c r="A1692">
        <v>1761</v>
      </c>
      <c r="B1692" t="s">
        <v>571</v>
      </c>
      <c r="C1692" t="s">
        <v>11</v>
      </c>
      <c r="D1692" s="1">
        <v>41274</v>
      </c>
      <c r="E1692" s="2">
        <v>4986566000</v>
      </c>
      <c r="F1692" s="2">
        <v>1620566000</v>
      </c>
      <c r="G1692" s="2">
        <v>1641819000</v>
      </c>
      <c r="H1692" s="2">
        <v>885824000</v>
      </c>
      <c r="I1692" s="2">
        <v>35819000</v>
      </c>
      <c r="J1692" t="s">
        <v>22</v>
      </c>
      <c r="K1692" t="s">
        <v>57</v>
      </c>
      <c r="L1692">
        <f t="shared" si="26"/>
        <v>0.67501362661198105</v>
      </c>
    </row>
    <row r="1693" spans="1:12" x14ac:dyDescent="0.2">
      <c r="A1693">
        <v>1762</v>
      </c>
      <c r="B1693" t="s">
        <v>571</v>
      </c>
      <c r="C1693" t="s">
        <v>15</v>
      </c>
      <c r="D1693" s="1">
        <v>41639</v>
      </c>
      <c r="E1693" s="2">
        <v>4680380000</v>
      </c>
      <c r="F1693" s="2">
        <v>1349380000</v>
      </c>
      <c r="G1693" s="2">
        <v>1751275000</v>
      </c>
      <c r="H1693" s="2">
        <v>957587000</v>
      </c>
      <c r="I1693" s="2">
        <v>44841000</v>
      </c>
      <c r="J1693" t="s">
        <v>22</v>
      </c>
      <c r="K1693" t="s">
        <v>57</v>
      </c>
      <c r="L1693">
        <f t="shared" si="26"/>
        <v>0.71169434960409195</v>
      </c>
    </row>
    <row r="1694" spans="1:12" x14ac:dyDescent="0.2">
      <c r="A1694">
        <v>1763</v>
      </c>
      <c r="B1694" t="s">
        <v>571</v>
      </c>
      <c r="C1694" t="s">
        <v>16</v>
      </c>
      <c r="D1694" s="1">
        <v>42004</v>
      </c>
      <c r="E1694" s="2">
        <v>4618133000</v>
      </c>
      <c r="F1694" s="2">
        <v>1387375000</v>
      </c>
      <c r="G1694" s="2">
        <v>1770710000</v>
      </c>
      <c r="H1694" s="2">
        <v>1156386000</v>
      </c>
      <c r="I1694" s="2">
        <v>66750000</v>
      </c>
      <c r="J1694" t="s">
        <v>22</v>
      </c>
      <c r="K1694" t="s">
        <v>57</v>
      </c>
      <c r="L1694">
        <f t="shared" si="26"/>
        <v>0.69958097785403761</v>
      </c>
    </row>
    <row r="1695" spans="1:12" x14ac:dyDescent="0.2">
      <c r="A1695">
        <v>1764</v>
      </c>
      <c r="B1695" t="s">
        <v>571</v>
      </c>
      <c r="C1695" t="s">
        <v>17</v>
      </c>
      <c r="D1695" s="1">
        <v>42369</v>
      </c>
      <c r="E1695" s="2">
        <v>4968301000</v>
      </c>
      <c r="F1695" s="2">
        <v>2077748000</v>
      </c>
      <c r="G1695" s="2">
        <v>1768522000</v>
      </c>
      <c r="H1695" s="2">
        <v>1177923000</v>
      </c>
      <c r="I1695" s="2">
        <v>79042000</v>
      </c>
      <c r="J1695" t="s">
        <v>22</v>
      </c>
      <c r="K1695" t="s">
        <v>57</v>
      </c>
      <c r="L1695">
        <f t="shared" si="26"/>
        <v>0.58179908986995754</v>
      </c>
    </row>
    <row r="1696" spans="1:12" x14ac:dyDescent="0.2">
      <c r="A1696">
        <v>1765</v>
      </c>
      <c r="B1696" t="s">
        <v>572</v>
      </c>
      <c r="C1696" t="s">
        <v>11</v>
      </c>
      <c r="D1696" s="1">
        <v>41272</v>
      </c>
      <c r="E1696" s="2">
        <v>13633000000</v>
      </c>
      <c r="F1696" s="2">
        <v>9852000000</v>
      </c>
      <c r="G1696" s="2">
        <v>1450000000</v>
      </c>
      <c r="H1696" t="s">
        <v>12</v>
      </c>
      <c r="I1696" t="s">
        <v>12</v>
      </c>
      <c r="J1696" t="s">
        <v>19</v>
      </c>
      <c r="K1696" t="s">
        <v>155</v>
      </c>
      <c r="L1696">
        <f t="shared" si="26"/>
        <v>0.2773417442969266</v>
      </c>
    </row>
    <row r="1697" spans="1:12" x14ac:dyDescent="0.2">
      <c r="A1697">
        <v>1766</v>
      </c>
      <c r="B1697" t="s">
        <v>572</v>
      </c>
      <c r="C1697" t="s">
        <v>15</v>
      </c>
      <c r="D1697" s="1">
        <v>41636</v>
      </c>
      <c r="E1697" s="2">
        <v>13084000000</v>
      </c>
      <c r="F1697" s="2">
        <v>9501000000</v>
      </c>
      <c r="G1697" s="2">
        <v>1454000000</v>
      </c>
      <c r="H1697" t="s">
        <v>12</v>
      </c>
      <c r="I1697" t="s">
        <v>12</v>
      </c>
      <c r="J1697" t="s">
        <v>19</v>
      </c>
      <c r="K1697" t="s">
        <v>155</v>
      </c>
      <c r="L1697">
        <f t="shared" si="26"/>
        <v>0.27384591867930297</v>
      </c>
    </row>
    <row r="1698" spans="1:12" x14ac:dyDescent="0.2">
      <c r="A1698">
        <v>1767</v>
      </c>
      <c r="B1698" t="s">
        <v>572</v>
      </c>
      <c r="C1698" t="s">
        <v>16</v>
      </c>
      <c r="D1698" s="1">
        <v>42000</v>
      </c>
      <c r="E1698" s="2">
        <v>13279000000</v>
      </c>
      <c r="F1698" s="2">
        <v>9682000000</v>
      </c>
      <c r="G1698" s="2">
        <v>1505000000</v>
      </c>
      <c r="H1698" t="s">
        <v>12</v>
      </c>
      <c r="I1698" t="s">
        <v>12</v>
      </c>
      <c r="J1698" t="s">
        <v>19</v>
      </c>
      <c r="K1698" t="s">
        <v>155</v>
      </c>
      <c r="L1698">
        <f t="shared" si="26"/>
        <v>0.27087883123729195</v>
      </c>
    </row>
    <row r="1699" spans="1:12" x14ac:dyDescent="0.2">
      <c r="A1699">
        <v>1768</v>
      </c>
      <c r="B1699" t="s">
        <v>572</v>
      </c>
      <c r="C1699" t="s">
        <v>17</v>
      </c>
      <c r="D1699" s="1">
        <v>42364</v>
      </c>
      <c r="E1699" s="2">
        <v>13105000000</v>
      </c>
      <c r="F1699" s="2">
        <v>9359000000</v>
      </c>
      <c r="G1699" s="2">
        <v>1746000000</v>
      </c>
      <c r="H1699" t="s">
        <v>12</v>
      </c>
      <c r="I1699" t="s">
        <v>12</v>
      </c>
      <c r="J1699" t="s">
        <v>19</v>
      </c>
      <c r="K1699" t="s">
        <v>155</v>
      </c>
      <c r="L1699">
        <f t="shared" si="26"/>
        <v>0.28584509729111029</v>
      </c>
    </row>
    <row r="1700" spans="1:12" x14ac:dyDescent="0.2">
      <c r="A1700">
        <v>1769</v>
      </c>
      <c r="B1700" t="s">
        <v>573</v>
      </c>
      <c r="C1700" t="s">
        <v>11</v>
      </c>
      <c r="D1700" s="1">
        <v>41274</v>
      </c>
      <c r="E1700" s="2">
        <v>4471700000</v>
      </c>
      <c r="F1700" s="2">
        <v>1125200000</v>
      </c>
      <c r="G1700" s="2">
        <v>1822100000</v>
      </c>
      <c r="H1700" s="2">
        <v>225600000</v>
      </c>
      <c r="I1700" t="s">
        <v>12</v>
      </c>
      <c r="J1700" t="s">
        <v>25</v>
      </c>
      <c r="K1700" t="s">
        <v>30</v>
      </c>
      <c r="L1700">
        <f t="shared" si="26"/>
        <v>0.74837310195227769</v>
      </c>
    </row>
    <row r="1701" spans="1:12" x14ac:dyDescent="0.2">
      <c r="A1701">
        <v>1770</v>
      </c>
      <c r="B1701" t="s">
        <v>573</v>
      </c>
      <c r="C1701" t="s">
        <v>15</v>
      </c>
      <c r="D1701" s="1">
        <v>41639</v>
      </c>
      <c r="E1701" s="2">
        <v>4623400000</v>
      </c>
      <c r="F1701" s="2">
        <v>1266700000</v>
      </c>
      <c r="G1701" s="2">
        <v>1796300000</v>
      </c>
      <c r="H1701" s="2">
        <v>203000000</v>
      </c>
      <c r="I1701" s="2">
        <v>78500000</v>
      </c>
      <c r="J1701" t="s">
        <v>25</v>
      </c>
      <c r="K1701" t="s">
        <v>30</v>
      </c>
      <c r="L1701">
        <f t="shared" si="26"/>
        <v>0.72602413808020072</v>
      </c>
    </row>
    <row r="1702" spans="1:12" x14ac:dyDescent="0.2">
      <c r="A1702">
        <v>1771</v>
      </c>
      <c r="B1702" t="s">
        <v>573</v>
      </c>
      <c r="C1702" t="s">
        <v>16</v>
      </c>
      <c r="D1702" s="1">
        <v>42004</v>
      </c>
      <c r="E1702" s="2">
        <v>4673300000</v>
      </c>
      <c r="F1702" s="2">
        <v>1242800000</v>
      </c>
      <c r="G1702" s="2">
        <v>1772200000</v>
      </c>
      <c r="H1702" s="2">
        <v>187400000</v>
      </c>
      <c r="I1702" s="2">
        <v>92500000</v>
      </c>
      <c r="J1702" t="s">
        <v>25</v>
      </c>
      <c r="K1702" t="s">
        <v>30</v>
      </c>
      <c r="L1702">
        <f t="shared" si="26"/>
        <v>0.73406372370701645</v>
      </c>
    </row>
    <row r="1703" spans="1:12" x14ac:dyDescent="0.2">
      <c r="A1703">
        <v>1772</v>
      </c>
      <c r="B1703" t="s">
        <v>573</v>
      </c>
      <c r="C1703" t="s">
        <v>17</v>
      </c>
      <c r="D1703" s="1">
        <v>42369</v>
      </c>
      <c r="E1703" s="2">
        <v>5997800000</v>
      </c>
      <c r="F1703" s="2">
        <v>1800600000</v>
      </c>
      <c r="G1703" s="2">
        <v>2291900000</v>
      </c>
      <c r="H1703" s="2">
        <v>268800000</v>
      </c>
      <c r="I1703" s="2">
        <v>337400000</v>
      </c>
      <c r="J1703" t="s">
        <v>25</v>
      </c>
      <c r="K1703" t="s">
        <v>30</v>
      </c>
      <c r="L1703">
        <f t="shared" si="26"/>
        <v>0.69978992297175635</v>
      </c>
    </row>
    <row r="1704" spans="1:12" x14ac:dyDescent="0.2">
      <c r="A1704">
        <v>1773</v>
      </c>
      <c r="B1704" t="s">
        <v>574</v>
      </c>
      <c r="C1704" t="s">
        <v>11</v>
      </c>
      <c r="D1704" s="1">
        <v>41274</v>
      </c>
      <c r="E1704" s="2">
        <v>2458592000</v>
      </c>
      <c r="F1704" s="2">
        <v>80146000</v>
      </c>
      <c r="G1704" s="2">
        <v>1579007000</v>
      </c>
      <c r="H1704" t="s">
        <v>12</v>
      </c>
      <c r="I1704" s="2">
        <v>31237000</v>
      </c>
      <c r="J1704" t="s">
        <v>47</v>
      </c>
      <c r="K1704" t="s">
        <v>140</v>
      </c>
      <c r="L1704">
        <f t="shared" si="26"/>
        <v>0.96740166729575305</v>
      </c>
    </row>
    <row r="1705" spans="1:12" x14ac:dyDescent="0.2">
      <c r="A1705">
        <v>1774</v>
      </c>
      <c r="B1705" t="s">
        <v>574</v>
      </c>
      <c r="C1705" t="s">
        <v>15</v>
      </c>
      <c r="D1705" s="1">
        <v>41639</v>
      </c>
      <c r="E1705" s="2">
        <v>2278812000</v>
      </c>
      <c r="F1705" s="2">
        <v>58913000</v>
      </c>
      <c r="G1705" s="2">
        <v>1700064000</v>
      </c>
      <c r="H1705" t="s">
        <v>12</v>
      </c>
      <c r="I1705" s="2">
        <v>-72761000</v>
      </c>
      <c r="J1705" t="s">
        <v>47</v>
      </c>
      <c r="K1705" t="s">
        <v>140</v>
      </c>
      <c r="L1705">
        <f t="shared" si="26"/>
        <v>0.97414749439620296</v>
      </c>
    </row>
    <row r="1706" spans="1:12" x14ac:dyDescent="0.2">
      <c r="A1706">
        <v>1775</v>
      </c>
      <c r="B1706" t="s">
        <v>574</v>
      </c>
      <c r="C1706" t="s">
        <v>16</v>
      </c>
      <c r="D1706" s="1">
        <v>42004</v>
      </c>
      <c r="E1706" s="2">
        <v>2361631000</v>
      </c>
      <c r="F1706" s="2">
        <v>49736000</v>
      </c>
      <c r="G1706" s="2">
        <v>1654369000</v>
      </c>
      <c r="H1706" t="s">
        <v>12</v>
      </c>
      <c r="I1706" s="2">
        <v>-87159000</v>
      </c>
      <c r="J1706" t="s">
        <v>47</v>
      </c>
      <c r="K1706" t="s">
        <v>140</v>
      </c>
      <c r="L1706">
        <f t="shared" si="26"/>
        <v>0.97893997834547397</v>
      </c>
    </row>
    <row r="1707" spans="1:12" x14ac:dyDescent="0.2">
      <c r="A1707">
        <v>1776</v>
      </c>
      <c r="B1707" t="s">
        <v>574</v>
      </c>
      <c r="C1707" t="s">
        <v>17</v>
      </c>
      <c r="D1707" s="1">
        <v>42369</v>
      </c>
      <c r="E1707" s="2">
        <v>2210591000</v>
      </c>
      <c r="F1707" s="2">
        <v>49344000</v>
      </c>
      <c r="G1707" s="2">
        <v>1591239000</v>
      </c>
      <c r="H1707" t="s">
        <v>12</v>
      </c>
      <c r="I1707" s="2">
        <v>49282000</v>
      </c>
      <c r="J1707" t="s">
        <v>47</v>
      </c>
      <c r="K1707" t="s">
        <v>140</v>
      </c>
      <c r="L1707">
        <f t="shared" si="26"/>
        <v>0.97767836745919978</v>
      </c>
    </row>
    <row r="1708" spans="1:12" x14ac:dyDescent="0.2">
      <c r="A1708">
        <v>1777</v>
      </c>
      <c r="B1708" t="s">
        <v>575</v>
      </c>
      <c r="C1708" t="s">
        <v>11</v>
      </c>
      <c r="D1708" s="1">
        <v>41639</v>
      </c>
      <c r="E1708" s="2">
        <v>4561000000</v>
      </c>
      <c r="F1708" s="2">
        <v>1669000000</v>
      </c>
      <c r="G1708" s="2">
        <v>1613000000</v>
      </c>
      <c r="H1708" s="2">
        <v>399000000</v>
      </c>
      <c r="I1708" s="2">
        <v>60000000</v>
      </c>
      <c r="J1708" t="s">
        <v>25</v>
      </c>
      <c r="K1708" t="s">
        <v>26</v>
      </c>
      <c r="L1708">
        <f t="shared" si="26"/>
        <v>0.63407147555360666</v>
      </c>
    </row>
    <row r="1709" spans="1:12" x14ac:dyDescent="0.2">
      <c r="A1709">
        <v>1778</v>
      </c>
      <c r="B1709" t="s">
        <v>575</v>
      </c>
      <c r="C1709" t="s">
        <v>15</v>
      </c>
      <c r="D1709" s="1">
        <v>42004</v>
      </c>
      <c r="E1709" s="2">
        <v>4785000000</v>
      </c>
      <c r="F1709" s="2">
        <v>1717000000</v>
      </c>
      <c r="G1709" s="2">
        <v>1643000000</v>
      </c>
      <c r="H1709" s="2">
        <v>396000000</v>
      </c>
      <c r="I1709" s="2">
        <v>60000000</v>
      </c>
      <c r="J1709" t="s">
        <v>25</v>
      </c>
      <c r="K1709" t="s">
        <v>26</v>
      </c>
      <c r="L1709">
        <f t="shared" si="26"/>
        <v>0.64117032392894457</v>
      </c>
    </row>
    <row r="1710" spans="1:12" x14ac:dyDescent="0.2">
      <c r="A1710">
        <v>1779</v>
      </c>
      <c r="B1710" t="s">
        <v>575</v>
      </c>
      <c r="C1710" t="s">
        <v>16</v>
      </c>
      <c r="D1710" s="1">
        <v>42369</v>
      </c>
      <c r="E1710" s="2">
        <v>4765000000</v>
      </c>
      <c r="F1710" s="2">
        <v>1738000000</v>
      </c>
      <c r="G1710" s="2">
        <v>1532000000</v>
      </c>
      <c r="H1710" s="2">
        <v>364000000</v>
      </c>
      <c r="I1710" s="2">
        <v>61000000</v>
      </c>
      <c r="J1710" t="s">
        <v>25</v>
      </c>
      <c r="K1710" t="s">
        <v>26</v>
      </c>
      <c r="L1710">
        <f t="shared" si="26"/>
        <v>0.63525708289611749</v>
      </c>
    </row>
    <row r="1711" spans="1:12" x14ac:dyDescent="0.2">
      <c r="A1711">
        <v>1780</v>
      </c>
      <c r="B1711" t="s">
        <v>575</v>
      </c>
      <c r="C1711" t="s">
        <v>17</v>
      </c>
      <c r="D1711" s="1">
        <v>42735</v>
      </c>
      <c r="E1711" s="2">
        <v>4888000000</v>
      </c>
      <c r="F1711" s="2">
        <v>1666000000</v>
      </c>
      <c r="G1711" s="2">
        <v>1364000000</v>
      </c>
      <c r="H1711" s="2">
        <v>376000000</v>
      </c>
      <c r="I1711" s="2">
        <v>85000000</v>
      </c>
      <c r="J1711" t="s">
        <v>25</v>
      </c>
      <c r="K1711" t="s">
        <v>26</v>
      </c>
      <c r="L1711">
        <f t="shared" si="26"/>
        <v>0.6591653027823241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503F-7314-5D4F-B71F-365C6EAE232B}">
  <sheetPr filterMode="1"/>
  <dimension ref="B1:G1663"/>
  <sheetViews>
    <sheetView zoomScale="90" zoomScaleNormal="90" workbookViewId="0">
      <selection activeCell="G353" sqref="G353"/>
    </sheetView>
  </sheetViews>
  <sheetFormatPr baseColWidth="10" defaultRowHeight="16" x14ac:dyDescent="0.2"/>
  <cols>
    <col min="2" max="2" width="26.5" customWidth="1"/>
    <col min="3" max="3" width="21.1640625" customWidth="1"/>
    <col min="6" max="6" width="23.5" customWidth="1"/>
    <col min="7" max="7" width="33" customWidth="1"/>
    <col min="8" max="8" width="11.1640625" bestFit="1" customWidth="1"/>
    <col min="10" max="10" width="26.1640625" customWidth="1"/>
    <col min="11" max="11" width="10.83203125" customWidth="1"/>
  </cols>
  <sheetData>
    <row r="1" spans="2:7" x14ac:dyDescent="0.2">
      <c r="B1" s="18" t="s">
        <v>3</v>
      </c>
      <c r="C1" s="18" t="s">
        <v>8</v>
      </c>
    </row>
    <row r="2" spans="2:7" hidden="1" x14ac:dyDescent="0.2">
      <c r="B2" s="2">
        <v>24855000000</v>
      </c>
      <c r="C2" t="s">
        <v>13</v>
      </c>
    </row>
    <row r="3" spans="2:7" hidden="1" x14ac:dyDescent="0.2">
      <c r="B3" s="2">
        <v>26743000000</v>
      </c>
      <c r="C3" t="s">
        <v>13</v>
      </c>
    </row>
    <row r="4" spans="2:7" hidden="1" x14ac:dyDescent="0.2">
      <c r="B4" s="2">
        <v>42650000000</v>
      </c>
      <c r="C4" t="s">
        <v>13</v>
      </c>
    </row>
    <row r="5" spans="2:7" hidden="1" x14ac:dyDescent="0.2">
      <c r="B5" s="2">
        <v>40990000000</v>
      </c>
      <c r="C5" t="s">
        <v>13</v>
      </c>
    </row>
    <row r="6" spans="2:7" hidden="1" x14ac:dyDescent="0.2">
      <c r="B6" s="2">
        <v>6205003000</v>
      </c>
      <c r="C6" t="s">
        <v>19</v>
      </c>
    </row>
    <row r="7" spans="2:7" hidden="1" x14ac:dyDescent="0.2">
      <c r="B7" s="2">
        <v>6493814000</v>
      </c>
      <c r="C7" t="s">
        <v>19</v>
      </c>
    </row>
    <row r="8" spans="2:7" hidden="1" x14ac:dyDescent="0.2">
      <c r="B8" s="2">
        <v>9843861000</v>
      </c>
      <c r="C8" t="s">
        <v>19</v>
      </c>
    </row>
    <row r="9" spans="2:7" hidden="1" x14ac:dyDescent="0.2">
      <c r="B9" s="2">
        <v>9737018000</v>
      </c>
      <c r="C9" t="s">
        <v>19</v>
      </c>
    </row>
    <row r="10" spans="2:7" x14ac:dyDescent="0.2">
      <c r="B10" s="11">
        <v>16428000000</v>
      </c>
      <c r="C10" s="10" t="s">
        <v>83</v>
      </c>
      <c r="F10" s="19" t="s">
        <v>576</v>
      </c>
      <c r="G10" s="19"/>
    </row>
    <row r="11" spans="2:7" x14ac:dyDescent="0.2">
      <c r="B11" s="11">
        <v>14771000000</v>
      </c>
      <c r="C11" s="10" t="s">
        <v>83</v>
      </c>
    </row>
    <row r="12" spans="2:7" x14ac:dyDescent="0.2">
      <c r="B12" s="11">
        <v>12691000000</v>
      </c>
      <c r="C12" s="10" t="s">
        <v>83</v>
      </c>
    </row>
    <row r="13" spans="2:7" ht="17" thickBot="1" x14ac:dyDescent="0.25">
      <c r="B13" s="11">
        <v>6383000000</v>
      </c>
      <c r="C13" s="10" t="s">
        <v>83</v>
      </c>
    </row>
    <row r="14" spans="2:7" hidden="1" x14ac:dyDescent="0.2">
      <c r="B14" s="2">
        <v>18380000000</v>
      </c>
      <c r="C14" t="s">
        <v>25</v>
      </c>
    </row>
    <row r="15" spans="2:7" hidden="1" x14ac:dyDescent="0.2">
      <c r="B15" s="2">
        <v>18790000000</v>
      </c>
      <c r="C15" t="s">
        <v>25</v>
      </c>
    </row>
    <row r="16" spans="2:7" hidden="1" x14ac:dyDescent="0.2">
      <c r="B16" s="2">
        <v>19960000000</v>
      </c>
      <c r="C16" t="s">
        <v>25</v>
      </c>
    </row>
    <row r="17" spans="2:7" hidden="1" x14ac:dyDescent="0.2">
      <c r="B17" s="2">
        <v>22859000000</v>
      </c>
      <c r="C17" t="s">
        <v>25</v>
      </c>
    </row>
    <row r="18" spans="2:7" hidden="1" x14ac:dyDescent="0.2">
      <c r="B18" s="2">
        <v>87959167000</v>
      </c>
      <c r="C18" t="s">
        <v>25</v>
      </c>
    </row>
    <row r="19" spans="2:7" hidden="1" x14ac:dyDescent="0.2">
      <c r="B19" s="2">
        <v>119569127000</v>
      </c>
      <c r="C19" t="s">
        <v>25</v>
      </c>
    </row>
    <row r="20" spans="2:7" hidden="1" x14ac:dyDescent="0.2">
      <c r="B20" s="2">
        <v>135961803000</v>
      </c>
      <c r="C20" t="s">
        <v>25</v>
      </c>
    </row>
    <row r="21" spans="2:7" hidden="1" x14ac:dyDescent="0.2">
      <c r="B21" s="2">
        <v>146849686000</v>
      </c>
      <c r="C21" t="s">
        <v>25</v>
      </c>
    </row>
    <row r="22" spans="2:7" hidden="1" x14ac:dyDescent="0.2">
      <c r="B22" s="2">
        <v>19050000000</v>
      </c>
      <c r="C22" t="s">
        <v>25</v>
      </c>
    </row>
    <row r="23" spans="2:7" hidden="1" x14ac:dyDescent="0.2">
      <c r="B23" s="2">
        <v>19657000000</v>
      </c>
      <c r="C23" t="s">
        <v>25</v>
      </c>
    </row>
    <row r="24" spans="2:7" hidden="1" x14ac:dyDescent="0.2">
      <c r="B24" s="2">
        <v>20247000000</v>
      </c>
      <c r="C24" t="s">
        <v>25</v>
      </c>
    </row>
    <row r="25" spans="2:7" hidden="1" x14ac:dyDescent="0.2">
      <c r="B25" s="2">
        <v>20405000000</v>
      </c>
      <c r="C25" t="s">
        <v>25</v>
      </c>
    </row>
    <row r="26" spans="2:7" ht="17" thickBot="1" x14ac:dyDescent="0.25">
      <c r="B26" s="11">
        <v>14581000000</v>
      </c>
      <c r="C26" s="10" t="s">
        <v>83</v>
      </c>
      <c r="F26" s="12" t="s">
        <v>585</v>
      </c>
      <c r="G26" s="13"/>
    </row>
    <row r="27" spans="2:7" x14ac:dyDescent="0.2">
      <c r="B27" s="11">
        <v>18470000000</v>
      </c>
      <c r="C27" s="10" t="s">
        <v>83</v>
      </c>
      <c r="F27" s="10" t="s">
        <v>577</v>
      </c>
      <c r="G27" s="11">
        <f>AVERAGE(B10:B581)</f>
        <v>24653329265.734264</v>
      </c>
    </row>
    <row r="28" spans="2:7" x14ac:dyDescent="0.2">
      <c r="B28" s="11">
        <v>8698000000</v>
      </c>
      <c r="C28" s="10" t="s">
        <v>83</v>
      </c>
      <c r="F28" s="10" t="s">
        <v>578</v>
      </c>
      <c r="G28" s="11">
        <f>MEDIAN(B10:B581)</f>
        <v>10223170000</v>
      </c>
    </row>
    <row r="29" spans="2:7" x14ac:dyDescent="0.2">
      <c r="B29" s="11">
        <v>7869000000</v>
      </c>
      <c r="C29" s="10" t="s">
        <v>83</v>
      </c>
      <c r="F29" s="10" t="s">
        <v>579</v>
      </c>
      <c r="G29" s="118">
        <f>MODE(B10:B581)</f>
        <v>16560000000</v>
      </c>
    </row>
    <row r="30" spans="2:7" x14ac:dyDescent="0.2">
      <c r="B30" s="11">
        <v>22364000000</v>
      </c>
      <c r="C30" s="10" t="s">
        <v>83</v>
      </c>
      <c r="F30" s="14" t="s">
        <v>580</v>
      </c>
      <c r="G30" s="15">
        <f>SUM(B10:B581)</f>
        <v>14101704340000</v>
      </c>
    </row>
    <row r="31" spans="2:7" x14ac:dyDescent="0.2">
      <c r="B31" s="11">
        <v>24551000000</v>
      </c>
      <c r="C31" s="10" t="s">
        <v>83</v>
      </c>
      <c r="F31" s="10" t="s">
        <v>582</v>
      </c>
      <c r="G31" s="11">
        <f>MIN(B10:B581)</f>
        <v>1514000</v>
      </c>
    </row>
    <row r="32" spans="2:7" x14ac:dyDescent="0.2">
      <c r="B32" s="11">
        <v>15742000000</v>
      </c>
      <c r="C32" s="10" t="s">
        <v>83</v>
      </c>
      <c r="F32" s="10" t="s">
        <v>583</v>
      </c>
      <c r="G32" s="11">
        <f>MAX(B10:B581)</f>
        <v>451509000000</v>
      </c>
    </row>
    <row r="33" spans="2:7" x14ac:dyDescent="0.2">
      <c r="B33" s="11">
        <v>9841000000</v>
      </c>
      <c r="C33" s="10" t="s">
        <v>83</v>
      </c>
      <c r="F33" s="10" t="s">
        <v>584</v>
      </c>
      <c r="G33" s="11">
        <f>G32-G31</f>
        <v>451507486000</v>
      </c>
    </row>
    <row r="34" spans="2:7" hidden="1" x14ac:dyDescent="0.2">
      <c r="B34" s="2">
        <v>90559000000</v>
      </c>
      <c r="C34" t="s">
        <v>36</v>
      </c>
    </row>
    <row r="35" spans="2:7" hidden="1" x14ac:dyDescent="0.2">
      <c r="B35" s="2">
        <v>89804000000</v>
      </c>
      <c r="C35" t="s">
        <v>36</v>
      </c>
    </row>
    <row r="36" spans="2:7" hidden="1" x14ac:dyDescent="0.2">
      <c r="B36" s="2">
        <v>81201000000</v>
      </c>
      <c r="C36" t="s">
        <v>36</v>
      </c>
    </row>
    <row r="37" spans="2:7" hidden="1" x14ac:dyDescent="0.2">
      <c r="B37" s="2">
        <v>67702000000</v>
      </c>
      <c r="C37" t="s">
        <v>36</v>
      </c>
    </row>
    <row r="38" spans="2:7" x14ac:dyDescent="0.2">
      <c r="B38" s="11">
        <v>12316000000</v>
      </c>
      <c r="C38" s="10" t="s">
        <v>83</v>
      </c>
      <c r="F38" s="107" t="s">
        <v>581</v>
      </c>
      <c r="G38" s="108">
        <f>STDEV(B10:B581)</f>
        <v>46256957058.746948</v>
      </c>
    </row>
    <row r="39" spans="2:7" x14ac:dyDescent="0.2">
      <c r="B39" s="11">
        <v>19080000000</v>
      </c>
      <c r="C39" s="10" t="s">
        <v>83</v>
      </c>
      <c r="E39" s="106"/>
      <c r="F39" s="102"/>
      <c r="G39" s="103"/>
    </row>
    <row r="40" spans="2:7" x14ac:dyDescent="0.2">
      <c r="B40" s="11">
        <v>23125000000</v>
      </c>
      <c r="C40" s="10" t="s">
        <v>83</v>
      </c>
      <c r="E40" s="106"/>
      <c r="F40" s="101"/>
      <c r="G40" s="105"/>
    </row>
    <row r="41" spans="2:7" x14ac:dyDescent="0.2">
      <c r="B41" s="11">
        <v>12764000000</v>
      </c>
      <c r="C41" s="10" t="s">
        <v>83</v>
      </c>
      <c r="E41" s="106"/>
      <c r="F41" s="101"/>
      <c r="G41" s="105"/>
    </row>
    <row r="42" spans="2:7" x14ac:dyDescent="0.2">
      <c r="B42" s="11">
        <v>1204546000</v>
      </c>
      <c r="C42" s="10" t="s">
        <v>83</v>
      </c>
      <c r="E42" s="106"/>
      <c r="F42" s="101"/>
      <c r="G42" s="103"/>
    </row>
    <row r="43" spans="2:7" x14ac:dyDescent="0.2">
      <c r="B43" s="11">
        <v>1746278000</v>
      </c>
      <c r="C43" s="10" t="s">
        <v>83</v>
      </c>
      <c r="E43" s="106"/>
      <c r="F43" s="102"/>
      <c r="G43" s="105"/>
    </row>
    <row r="44" spans="2:7" x14ac:dyDescent="0.2">
      <c r="B44" s="11">
        <v>2173011000</v>
      </c>
      <c r="C44" s="10" t="s">
        <v>83</v>
      </c>
      <c r="E44" s="106"/>
      <c r="F44" s="101"/>
      <c r="G44" s="105"/>
    </row>
    <row r="45" spans="2:7" x14ac:dyDescent="0.2">
      <c r="B45" s="11">
        <v>1357150000</v>
      </c>
      <c r="C45" s="10" t="s">
        <v>83</v>
      </c>
      <c r="E45" s="106"/>
      <c r="F45" s="102"/>
      <c r="G45" s="104"/>
    </row>
    <row r="46" spans="2:7" hidden="1" x14ac:dyDescent="0.2">
      <c r="B46" s="2">
        <v>5781000000</v>
      </c>
      <c r="C46" t="s">
        <v>42</v>
      </c>
      <c r="F46" s="10" t="s">
        <v>584</v>
      </c>
      <c r="G46" s="11">
        <f>G45-G44</f>
        <v>0</v>
      </c>
    </row>
    <row r="47" spans="2:7" hidden="1" x14ac:dyDescent="0.2">
      <c r="B47" s="2">
        <v>5838000000</v>
      </c>
      <c r="C47" t="s">
        <v>42</v>
      </c>
    </row>
    <row r="48" spans="2:7" hidden="1" x14ac:dyDescent="0.2">
      <c r="B48" s="2">
        <v>6053000000</v>
      </c>
      <c r="C48" t="s">
        <v>42</v>
      </c>
    </row>
    <row r="49" spans="2:3" hidden="1" x14ac:dyDescent="0.2">
      <c r="B49" s="2">
        <v>6098000000</v>
      </c>
      <c r="C49" t="s">
        <v>42</v>
      </c>
    </row>
    <row r="50" spans="2:3" hidden="1" x14ac:dyDescent="0.2">
      <c r="B50" s="2">
        <v>14945000000</v>
      </c>
      <c r="C50" t="s">
        <v>42</v>
      </c>
    </row>
    <row r="51" spans="2:3" hidden="1" x14ac:dyDescent="0.2">
      <c r="B51" s="2">
        <v>14813500000</v>
      </c>
      <c r="C51" t="s">
        <v>42</v>
      </c>
    </row>
    <row r="52" spans="2:3" hidden="1" x14ac:dyDescent="0.2">
      <c r="B52" s="2">
        <v>16378600000</v>
      </c>
      <c r="C52" t="s">
        <v>42</v>
      </c>
    </row>
    <row r="53" spans="2:3" hidden="1" x14ac:dyDescent="0.2">
      <c r="B53" s="2">
        <v>16453200000</v>
      </c>
      <c r="C53" t="s">
        <v>42</v>
      </c>
    </row>
    <row r="54" spans="2:3" hidden="1" x14ac:dyDescent="0.2">
      <c r="B54" s="2">
        <v>25364000000</v>
      </c>
      <c r="C54" t="s">
        <v>47</v>
      </c>
    </row>
    <row r="55" spans="2:3" hidden="1" x14ac:dyDescent="0.2">
      <c r="B55" s="2">
        <v>23939000000</v>
      </c>
      <c r="C55" t="s">
        <v>47</v>
      </c>
    </row>
    <row r="56" spans="2:3" hidden="1" x14ac:dyDescent="0.2">
      <c r="B56" s="2">
        <v>22728000000</v>
      </c>
      <c r="C56" t="s">
        <v>47</v>
      </c>
    </row>
    <row r="57" spans="2:3" hidden="1" x14ac:dyDescent="0.2">
      <c r="B57" s="2">
        <v>20872000000</v>
      </c>
      <c r="C57" t="s">
        <v>47</v>
      </c>
    </row>
    <row r="58" spans="2:3" hidden="1" x14ac:dyDescent="0.2">
      <c r="B58" s="2">
        <v>71214000000</v>
      </c>
      <c r="C58" t="s">
        <v>47</v>
      </c>
    </row>
    <row r="59" spans="2:3" hidden="1" x14ac:dyDescent="0.2">
      <c r="B59" s="2">
        <v>68874000000</v>
      </c>
      <c r="C59" t="s">
        <v>47</v>
      </c>
    </row>
    <row r="60" spans="2:3" hidden="1" x14ac:dyDescent="0.2">
      <c r="B60" s="2">
        <v>64406000000</v>
      </c>
      <c r="C60" t="s">
        <v>47</v>
      </c>
    </row>
    <row r="61" spans="2:3" hidden="1" x14ac:dyDescent="0.2">
      <c r="B61" s="2">
        <v>58327000000</v>
      </c>
      <c r="C61" t="s">
        <v>47</v>
      </c>
    </row>
    <row r="62" spans="2:3" hidden="1" x14ac:dyDescent="0.2">
      <c r="B62" s="2">
        <v>958511000</v>
      </c>
      <c r="C62" t="s">
        <v>52</v>
      </c>
    </row>
    <row r="63" spans="2:3" hidden="1" x14ac:dyDescent="0.2">
      <c r="B63" s="2">
        <v>974053000</v>
      </c>
      <c r="C63" t="s">
        <v>52</v>
      </c>
    </row>
    <row r="64" spans="2:3" hidden="1" x14ac:dyDescent="0.2">
      <c r="B64" s="2">
        <v>984363000</v>
      </c>
      <c r="C64" t="s">
        <v>52</v>
      </c>
    </row>
    <row r="65" spans="2:7" hidden="1" x14ac:dyDescent="0.2">
      <c r="B65" s="2">
        <v>981310000</v>
      </c>
      <c r="C65" t="s">
        <v>52</v>
      </c>
    </row>
    <row r="66" spans="2:7" hidden="1" x14ac:dyDescent="0.2">
      <c r="B66" s="2">
        <v>9047657000</v>
      </c>
      <c r="C66" t="s">
        <v>47</v>
      </c>
    </row>
    <row r="67" spans="2:7" hidden="1" x14ac:dyDescent="0.2">
      <c r="B67" s="2">
        <v>10381653000</v>
      </c>
      <c r="C67" t="s">
        <v>47</v>
      </c>
    </row>
    <row r="68" spans="2:7" hidden="1" x14ac:dyDescent="0.2">
      <c r="B68" s="2">
        <v>10325494000</v>
      </c>
      <c r="C68" t="s">
        <v>47</v>
      </c>
    </row>
    <row r="69" spans="2:7" hidden="1" x14ac:dyDescent="0.2">
      <c r="B69" s="2">
        <v>7531780000</v>
      </c>
      <c r="C69" t="s">
        <v>47</v>
      </c>
    </row>
    <row r="70" spans="2:7" x14ac:dyDescent="0.2">
      <c r="B70" s="11">
        <v>230590000000</v>
      </c>
      <c r="C70" s="10" t="s">
        <v>83</v>
      </c>
      <c r="E70" s="106"/>
      <c r="F70" s="102"/>
      <c r="G70" s="105"/>
    </row>
    <row r="71" spans="2:7" ht="17" thickBot="1" x14ac:dyDescent="0.25">
      <c r="B71" s="11">
        <v>220156000000</v>
      </c>
      <c r="C71" s="10" t="s">
        <v>83</v>
      </c>
    </row>
    <row r="72" spans="2:7" ht="17" thickBot="1" x14ac:dyDescent="0.25">
      <c r="B72" s="11">
        <v>200494000000</v>
      </c>
      <c r="C72" s="10" t="s">
        <v>83</v>
      </c>
      <c r="F72" s="96" t="s">
        <v>586</v>
      </c>
      <c r="G72" s="97"/>
    </row>
    <row r="73" spans="2:7" x14ac:dyDescent="0.2">
      <c r="B73" s="11">
        <v>129925000000</v>
      </c>
      <c r="C73" s="10" t="s">
        <v>83</v>
      </c>
      <c r="F73" s="95" t="s">
        <v>577</v>
      </c>
      <c r="G73" s="98">
        <v>19201495513</v>
      </c>
    </row>
    <row r="74" spans="2:7" hidden="1" x14ac:dyDescent="0.2">
      <c r="B74" s="2">
        <v>2519154000</v>
      </c>
      <c r="C74" t="s">
        <v>59</v>
      </c>
      <c r="F74" s="95" t="s">
        <v>578</v>
      </c>
      <c r="G74" s="98">
        <v>7243198500</v>
      </c>
    </row>
    <row r="75" spans="2:7" hidden="1" x14ac:dyDescent="0.2">
      <c r="B75" s="2">
        <v>2394270000</v>
      </c>
      <c r="C75" t="s">
        <v>59</v>
      </c>
      <c r="F75" s="95" t="s">
        <v>579</v>
      </c>
      <c r="G75" s="95">
        <v>19540000000</v>
      </c>
    </row>
    <row r="76" spans="2:7" hidden="1" x14ac:dyDescent="0.2">
      <c r="B76" s="2">
        <v>2445548000</v>
      </c>
      <c r="C76" t="s">
        <v>59</v>
      </c>
      <c r="F76" s="99" t="s">
        <v>580</v>
      </c>
      <c r="G76" s="100">
        <v>20161570289000</v>
      </c>
    </row>
    <row r="77" spans="2:7" hidden="1" x14ac:dyDescent="0.2">
      <c r="B77" s="2">
        <v>3651335000</v>
      </c>
      <c r="C77" t="s">
        <v>59</v>
      </c>
      <c r="F77" s="95" t="s">
        <v>582</v>
      </c>
      <c r="G77" s="98">
        <v>475888000</v>
      </c>
    </row>
    <row r="78" spans="2:7" hidden="1" x14ac:dyDescent="0.2">
      <c r="B78" s="2">
        <v>4657000000</v>
      </c>
      <c r="C78" t="s">
        <v>13</v>
      </c>
      <c r="F78" s="95" t="s">
        <v>583</v>
      </c>
      <c r="G78" s="98">
        <v>485651000000</v>
      </c>
    </row>
    <row r="79" spans="2:7" hidden="1" x14ac:dyDescent="0.2">
      <c r="B79" s="2">
        <v>5156000000</v>
      </c>
      <c r="C79" t="s">
        <v>13</v>
      </c>
      <c r="F79" s="95" t="s">
        <v>584</v>
      </c>
      <c r="G79" s="98">
        <v>485175112000</v>
      </c>
    </row>
    <row r="80" spans="2:7" hidden="1" x14ac:dyDescent="0.2">
      <c r="B80" s="2">
        <v>5368000000</v>
      </c>
      <c r="C80" t="s">
        <v>13</v>
      </c>
    </row>
    <row r="81" spans="2:7" hidden="1" x14ac:dyDescent="0.2">
      <c r="B81" s="2">
        <v>5598000000</v>
      </c>
      <c r="C81" t="s">
        <v>13</v>
      </c>
    </row>
    <row r="82" spans="2:7" hidden="1" x14ac:dyDescent="0.2">
      <c r="B82" s="2">
        <v>33315000000</v>
      </c>
      <c r="C82" t="s">
        <v>47</v>
      </c>
    </row>
    <row r="83" spans="2:7" hidden="1" x14ac:dyDescent="0.2">
      <c r="B83" s="2">
        <v>34507000000</v>
      </c>
      <c r="C83" t="s">
        <v>47</v>
      </c>
    </row>
    <row r="84" spans="2:7" hidden="1" x14ac:dyDescent="0.2">
      <c r="B84" s="2">
        <v>35239000000</v>
      </c>
      <c r="C84" t="s">
        <v>47</v>
      </c>
    </row>
    <row r="85" spans="2:7" hidden="1" x14ac:dyDescent="0.2">
      <c r="B85" s="2">
        <v>35653000000</v>
      </c>
      <c r="C85" t="s">
        <v>47</v>
      </c>
    </row>
    <row r="86" spans="2:7" hidden="1" x14ac:dyDescent="0.2">
      <c r="B86" s="2">
        <v>2069600000</v>
      </c>
      <c r="C86" t="s">
        <v>13</v>
      </c>
    </row>
    <row r="87" spans="2:7" hidden="1" x14ac:dyDescent="0.2">
      <c r="B87" s="2">
        <v>2118300000</v>
      </c>
      <c r="C87" t="s">
        <v>13</v>
      </c>
    </row>
    <row r="88" spans="2:7" hidden="1" x14ac:dyDescent="0.2">
      <c r="B88" s="2">
        <v>2068100000</v>
      </c>
      <c r="C88" t="s">
        <v>13</v>
      </c>
    </row>
    <row r="89" spans="2:7" hidden="1" x14ac:dyDescent="0.2">
      <c r="B89" s="2">
        <v>2238000000</v>
      </c>
      <c r="C89" t="s">
        <v>13</v>
      </c>
    </row>
    <row r="90" spans="2:7" hidden="1" x14ac:dyDescent="0.2">
      <c r="B90" s="2">
        <v>1551346000</v>
      </c>
      <c r="C90" t="s">
        <v>25</v>
      </c>
    </row>
    <row r="91" spans="2:7" hidden="1" x14ac:dyDescent="0.2">
      <c r="B91" s="2">
        <v>2234000000</v>
      </c>
      <c r="C91" t="s">
        <v>25</v>
      </c>
    </row>
    <row r="92" spans="2:7" hidden="1" x14ac:dyDescent="0.2">
      <c r="B92" s="2">
        <v>2604000000</v>
      </c>
      <c r="C92" t="s">
        <v>25</v>
      </c>
    </row>
    <row r="93" spans="2:7" hidden="1" x14ac:dyDescent="0.2">
      <c r="B93" s="2">
        <v>3084000000</v>
      </c>
      <c r="C93" t="s">
        <v>25</v>
      </c>
    </row>
    <row r="94" spans="2:7" x14ac:dyDescent="0.2">
      <c r="B94" s="11">
        <v>1819814000</v>
      </c>
      <c r="C94" s="10" t="s">
        <v>83</v>
      </c>
      <c r="F94" s="95" t="s">
        <v>578</v>
      </c>
      <c r="G94" s="98">
        <v>7243198500</v>
      </c>
    </row>
    <row r="95" spans="2:7" x14ac:dyDescent="0.2">
      <c r="B95" s="11">
        <v>2319919000</v>
      </c>
      <c r="C95" s="10" t="s">
        <v>83</v>
      </c>
      <c r="F95" s="95" t="s">
        <v>579</v>
      </c>
      <c r="G95" s="117">
        <v>19540000000</v>
      </c>
    </row>
    <row r="96" spans="2:7" x14ac:dyDescent="0.2">
      <c r="B96" s="11">
        <v>2660147000</v>
      </c>
      <c r="C96" s="10" t="s">
        <v>83</v>
      </c>
      <c r="F96" s="99" t="s">
        <v>580</v>
      </c>
      <c r="G96" s="100">
        <v>20161570289000</v>
      </c>
    </row>
    <row r="97" spans="2:7" x14ac:dyDescent="0.2">
      <c r="B97" s="11">
        <v>1803573000</v>
      </c>
      <c r="C97" s="10" t="s">
        <v>83</v>
      </c>
      <c r="F97" s="95" t="s">
        <v>582</v>
      </c>
      <c r="G97" s="98">
        <v>475888000</v>
      </c>
    </row>
    <row r="98" spans="2:7" hidden="1" x14ac:dyDescent="0.2">
      <c r="B98" s="2">
        <v>3334213000</v>
      </c>
      <c r="C98" t="s">
        <v>13</v>
      </c>
    </row>
    <row r="99" spans="2:7" hidden="1" x14ac:dyDescent="0.2">
      <c r="B99" s="2">
        <v>3594136000</v>
      </c>
      <c r="C99" t="s">
        <v>13</v>
      </c>
    </row>
    <row r="100" spans="2:7" hidden="1" x14ac:dyDescent="0.2">
      <c r="B100" s="2">
        <v>4021964000</v>
      </c>
      <c r="C100" t="s">
        <v>13</v>
      </c>
    </row>
    <row r="101" spans="2:7" hidden="1" x14ac:dyDescent="0.2">
      <c r="B101" s="2">
        <v>3974295000</v>
      </c>
      <c r="C101" t="s">
        <v>13</v>
      </c>
    </row>
    <row r="102" spans="2:7" hidden="1" x14ac:dyDescent="0.2">
      <c r="B102" s="2">
        <v>18676000000</v>
      </c>
      <c r="C102" t="s">
        <v>25</v>
      </c>
    </row>
    <row r="103" spans="2:7" hidden="1" x14ac:dyDescent="0.2">
      <c r="B103" s="2">
        <v>20063000000</v>
      </c>
      <c r="C103" t="s">
        <v>25</v>
      </c>
    </row>
    <row r="104" spans="2:7" hidden="1" x14ac:dyDescent="0.2">
      <c r="B104" s="2">
        <v>21662000000</v>
      </c>
      <c r="C104" t="s">
        <v>25</v>
      </c>
    </row>
    <row r="105" spans="2:7" hidden="1" x14ac:dyDescent="0.2">
      <c r="B105" s="2">
        <v>22991000000</v>
      </c>
      <c r="C105" t="s">
        <v>25</v>
      </c>
    </row>
    <row r="106" spans="2:7" hidden="1" x14ac:dyDescent="0.2">
      <c r="B106" s="2">
        <v>10259000000</v>
      </c>
      <c r="C106" t="s">
        <v>47</v>
      </c>
    </row>
    <row r="107" spans="2:7" hidden="1" x14ac:dyDescent="0.2">
      <c r="B107" s="2">
        <v>11230000000</v>
      </c>
      <c r="C107" t="s">
        <v>47</v>
      </c>
    </row>
    <row r="108" spans="2:7" hidden="1" x14ac:dyDescent="0.2">
      <c r="B108" s="2">
        <v>12296000000</v>
      </c>
      <c r="C108" t="s">
        <v>47</v>
      </c>
    </row>
    <row r="109" spans="2:7" hidden="1" x14ac:dyDescent="0.2">
      <c r="B109" s="2">
        <v>12200000000</v>
      </c>
      <c r="C109" t="s">
        <v>47</v>
      </c>
    </row>
    <row r="110" spans="2:7" hidden="1" x14ac:dyDescent="0.2">
      <c r="B110" s="2">
        <v>2875960000</v>
      </c>
      <c r="C110" t="s">
        <v>52</v>
      </c>
    </row>
    <row r="111" spans="2:7" hidden="1" x14ac:dyDescent="0.2">
      <c r="B111" s="2">
        <v>3361407000</v>
      </c>
      <c r="C111" t="s">
        <v>52</v>
      </c>
    </row>
    <row r="112" spans="2:7" hidden="1" x14ac:dyDescent="0.2">
      <c r="B112" s="2">
        <v>4100048000</v>
      </c>
      <c r="C112" t="s">
        <v>52</v>
      </c>
    </row>
    <row r="113" spans="2:7" hidden="1" x14ac:dyDescent="0.2">
      <c r="B113" s="2">
        <v>4771516000</v>
      </c>
      <c r="C113" t="s">
        <v>52</v>
      </c>
    </row>
    <row r="114" spans="2:7" hidden="1" x14ac:dyDescent="0.2">
      <c r="B114" s="2">
        <v>74452000000</v>
      </c>
      <c r="C114" t="s">
        <v>19</v>
      </c>
    </row>
    <row r="115" spans="2:7" hidden="1" x14ac:dyDescent="0.2">
      <c r="B115" s="2">
        <v>88988000000</v>
      </c>
      <c r="C115" t="s">
        <v>19</v>
      </c>
    </row>
    <row r="116" spans="2:7" hidden="1" x14ac:dyDescent="0.2">
      <c r="B116" s="2">
        <v>107006000000</v>
      </c>
      <c r="C116" t="s">
        <v>19</v>
      </c>
    </row>
    <row r="117" spans="2:7" hidden="1" x14ac:dyDescent="0.2">
      <c r="B117" s="2">
        <v>135987000000</v>
      </c>
      <c r="C117" t="s">
        <v>19</v>
      </c>
    </row>
    <row r="118" spans="2:7" hidden="1" x14ac:dyDescent="0.2">
      <c r="B118" s="2">
        <v>17517600000</v>
      </c>
      <c r="C118" t="s">
        <v>19</v>
      </c>
    </row>
    <row r="119" spans="2:7" hidden="1" x14ac:dyDescent="0.2">
      <c r="B119" s="2">
        <v>19108800000</v>
      </c>
      <c r="C119" t="s">
        <v>19</v>
      </c>
    </row>
    <row r="120" spans="2:7" hidden="1" x14ac:dyDescent="0.2">
      <c r="B120" s="2">
        <v>20862000000</v>
      </c>
      <c r="C120" t="s">
        <v>19</v>
      </c>
    </row>
    <row r="121" spans="2:7" hidden="1" x14ac:dyDescent="0.2">
      <c r="B121" s="2">
        <v>21609000000</v>
      </c>
      <c r="C121" t="s">
        <v>19</v>
      </c>
    </row>
    <row r="122" spans="2:7" hidden="1" x14ac:dyDescent="0.2">
      <c r="B122" s="2">
        <v>61497200000</v>
      </c>
      <c r="C122" t="s">
        <v>25</v>
      </c>
    </row>
    <row r="123" spans="2:7" hidden="1" x14ac:dyDescent="0.2">
      <c r="B123" s="2">
        <v>71023500000</v>
      </c>
      <c r="C123" t="s">
        <v>25</v>
      </c>
    </row>
    <row r="124" spans="2:7" hidden="1" x14ac:dyDescent="0.2">
      <c r="B124" s="2">
        <v>73874100000</v>
      </c>
      <c r="C124" t="s">
        <v>25</v>
      </c>
    </row>
    <row r="125" spans="2:7" hidden="1" x14ac:dyDescent="0.2">
      <c r="B125" s="2">
        <v>79156500000</v>
      </c>
      <c r="C125" t="s">
        <v>25</v>
      </c>
    </row>
    <row r="126" spans="2:7" x14ac:dyDescent="0.2">
      <c r="B126" s="11">
        <v>10397000000</v>
      </c>
      <c r="C126" s="10" t="s">
        <v>83</v>
      </c>
      <c r="F126" s="16" t="s">
        <v>583</v>
      </c>
      <c r="G126" s="17">
        <v>485651000000</v>
      </c>
    </row>
    <row r="127" spans="2:7" x14ac:dyDescent="0.2">
      <c r="B127" s="11">
        <v>20638000000</v>
      </c>
      <c r="C127" s="10" t="s">
        <v>83</v>
      </c>
      <c r="F127" s="16" t="s">
        <v>584</v>
      </c>
      <c r="G127" s="17">
        <v>485175112000</v>
      </c>
    </row>
    <row r="128" spans="2:7" x14ac:dyDescent="0.2">
      <c r="B128" s="11">
        <v>13145000000</v>
      </c>
      <c r="C128" s="10" t="s">
        <v>83</v>
      </c>
      <c r="F128" s="95" t="s">
        <v>581</v>
      </c>
      <c r="G128" s="98">
        <f>STDEV(B598:B1647)</f>
        <v>40188465233.231277</v>
      </c>
    </row>
    <row r="129" spans="2:3" x14ac:dyDescent="0.2">
      <c r="B129" s="11">
        <v>12197000000</v>
      </c>
      <c r="C129" s="10" t="s">
        <v>83</v>
      </c>
    </row>
    <row r="130" spans="2:3" hidden="1" x14ac:dyDescent="0.2">
      <c r="B130" s="2">
        <v>10180400000</v>
      </c>
      <c r="C130" t="s">
        <v>59</v>
      </c>
    </row>
    <row r="131" spans="2:3" hidden="1" x14ac:dyDescent="0.2">
      <c r="B131" s="2">
        <v>10439000000</v>
      </c>
      <c r="C131" t="s">
        <v>59</v>
      </c>
    </row>
    <row r="132" spans="2:3" hidden="1" x14ac:dyDescent="0.2">
      <c r="B132" s="2">
        <v>9894900000</v>
      </c>
      <c r="C132" t="s">
        <v>59</v>
      </c>
    </row>
    <row r="133" spans="2:3" hidden="1" x14ac:dyDescent="0.2">
      <c r="B133" s="2">
        <v>9524400000</v>
      </c>
      <c r="C133" t="s">
        <v>59</v>
      </c>
    </row>
    <row r="134" spans="2:3" hidden="1" x14ac:dyDescent="0.2">
      <c r="B134" s="2">
        <v>23700000000</v>
      </c>
      <c r="C134" t="s">
        <v>13</v>
      </c>
    </row>
    <row r="135" spans="2:3" hidden="1" x14ac:dyDescent="0.2">
      <c r="B135" s="2">
        <v>23032000000</v>
      </c>
      <c r="C135" t="s">
        <v>13</v>
      </c>
    </row>
    <row r="136" spans="2:3" hidden="1" x14ac:dyDescent="0.2">
      <c r="B136" s="2">
        <v>23906000000</v>
      </c>
      <c r="C136" t="s">
        <v>13</v>
      </c>
    </row>
    <row r="137" spans="2:3" hidden="1" x14ac:dyDescent="0.2">
      <c r="B137" s="2">
        <v>22534000000</v>
      </c>
      <c r="C137" t="s">
        <v>13</v>
      </c>
    </row>
    <row r="138" spans="2:3" hidden="1" x14ac:dyDescent="0.2">
      <c r="B138" s="2">
        <v>5863500000</v>
      </c>
      <c r="C138" t="s">
        <v>59</v>
      </c>
    </row>
    <row r="139" spans="2:3" hidden="1" x14ac:dyDescent="0.2">
      <c r="B139" s="2">
        <v>6140000000</v>
      </c>
      <c r="C139" t="s">
        <v>59</v>
      </c>
    </row>
    <row r="140" spans="2:3" hidden="1" x14ac:dyDescent="0.2">
      <c r="B140" s="2">
        <v>6330300000</v>
      </c>
      <c r="C140" t="s">
        <v>59</v>
      </c>
    </row>
    <row r="141" spans="2:3" hidden="1" x14ac:dyDescent="0.2">
      <c r="B141" s="2">
        <v>5966900000</v>
      </c>
      <c r="C141" t="s">
        <v>59</v>
      </c>
    </row>
    <row r="142" spans="2:3" hidden="1" x14ac:dyDescent="0.2">
      <c r="B142" s="2">
        <v>2853926000</v>
      </c>
      <c r="C142" t="s">
        <v>42</v>
      </c>
    </row>
    <row r="143" spans="2:3" hidden="1" x14ac:dyDescent="0.2">
      <c r="B143" s="2">
        <v>2879000000</v>
      </c>
      <c r="C143" t="s">
        <v>42</v>
      </c>
    </row>
    <row r="144" spans="2:3" hidden="1" x14ac:dyDescent="0.2">
      <c r="B144" s="2">
        <v>3011000000</v>
      </c>
      <c r="C144" t="s">
        <v>42</v>
      </c>
    </row>
    <row r="145" spans="2:3" hidden="1" x14ac:dyDescent="0.2">
      <c r="B145" s="2">
        <v>3159000000</v>
      </c>
      <c r="C145" t="s">
        <v>42</v>
      </c>
    </row>
    <row r="146" spans="2:3" hidden="1" x14ac:dyDescent="0.2">
      <c r="B146" s="2">
        <v>33781000000</v>
      </c>
      <c r="C146" t="s">
        <v>47</v>
      </c>
    </row>
    <row r="147" spans="2:3" hidden="1" x14ac:dyDescent="0.2">
      <c r="B147" s="2">
        <v>34828000000</v>
      </c>
      <c r="C147" t="s">
        <v>47</v>
      </c>
    </row>
    <row r="148" spans="2:3" hidden="1" x14ac:dyDescent="0.2">
      <c r="B148" s="2">
        <v>35895000000</v>
      </c>
      <c r="C148" t="s">
        <v>47</v>
      </c>
    </row>
    <row r="149" spans="2:3" hidden="1" x14ac:dyDescent="0.2">
      <c r="B149" s="2">
        <v>34441000000</v>
      </c>
      <c r="C149" t="s">
        <v>47</v>
      </c>
    </row>
    <row r="150" spans="2:3" hidden="1" x14ac:dyDescent="0.2">
      <c r="B150" s="2">
        <v>2089100000</v>
      </c>
      <c r="C150" t="s">
        <v>13</v>
      </c>
    </row>
    <row r="151" spans="2:3" hidden="1" x14ac:dyDescent="0.2">
      <c r="B151" s="2">
        <v>2393500000</v>
      </c>
      <c r="C151" t="s">
        <v>13</v>
      </c>
    </row>
    <row r="152" spans="2:3" hidden="1" x14ac:dyDescent="0.2">
      <c r="B152" s="2">
        <v>2706700000</v>
      </c>
      <c r="C152" t="s">
        <v>13</v>
      </c>
    </row>
    <row r="153" spans="2:3" hidden="1" x14ac:dyDescent="0.2">
      <c r="B153" s="2">
        <v>3291300000</v>
      </c>
      <c r="C153" t="s">
        <v>13</v>
      </c>
    </row>
    <row r="154" spans="2:3" hidden="1" x14ac:dyDescent="0.2">
      <c r="B154" s="2">
        <v>9147530000</v>
      </c>
      <c r="C154" t="s">
        <v>19</v>
      </c>
    </row>
    <row r="155" spans="2:3" hidden="1" x14ac:dyDescent="0.2">
      <c r="B155" s="2">
        <v>9475313000</v>
      </c>
      <c r="C155" t="s">
        <v>19</v>
      </c>
    </row>
    <row r="156" spans="2:3" hidden="1" x14ac:dyDescent="0.2">
      <c r="B156" s="2">
        <v>10187340000</v>
      </c>
      <c r="C156" t="s">
        <v>19</v>
      </c>
    </row>
    <row r="157" spans="2:3" hidden="1" x14ac:dyDescent="0.2">
      <c r="B157" s="2">
        <v>10635676000</v>
      </c>
      <c r="C157" t="s">
        <v>19</v>
      </c>
    </row>
    <row r="158" spans="2:3" hidden="1" x14ac:dyDescent="0.2">
      <c r="B158" s="2">
        <v>86623000000</v>
      </c>
      <c r="C158" t="s">
        <v>13</v>
      </c>
    </row>
    <row r="159" spans="2:3" hidden="1" x14ac:dyDescent="0.2">
      <c r="B159" s="2">
        <v>90762000000</v>
      </c>
      <c r="C159" t="s">
        <v>13</v>
      </c>
    </row>
    <row r="160" spans="2:3" hidden="1" x14ac:dyDescent="0.2">
      <c r="B160" s="2">
        <v>96114000000</v>
      </c>
      <c r="C160" t="s">
        <v>13</v>
      </c>
    </row>
    <row r="161" spans="2:3" hidden="1" x14ac:dyDescent="0.2">
      <c r="B161" s="2">
        <v>94571000000</v>
      </c>
      <c r="C161" t="s">
        <v>13</v>
      </c>
    </row>
    <row r="162" spans="2:3" hidden="1" x14ac:dyDescent="0.2">
      <c r="B162" s="2">
        <v>100078000000</v>
      </c>
      <c r="C162" t="s">
        <v>47</v>
      </c>
    </row>
    <row r="163" spans="2:3" hidden="1" x14ac:dyDescent="0.2">
      <c r="B163" s="2">
        <v>101697000000</v>
      </c>
      <c r="C163" t="s">
        <v>47</v>
      </c>
    </row>
    <row r="164" spans="2:3" hidden="1" x14ac:dyDescent="0.2">
      <c r="B164" s="2">
        <v>95181000000</v>
      </c>
      <c r="C164" t="s">
        <v>47</v>
      </c>
    </row>
    <row r="165" spans="2:3" hidden="1" x14ac:dyDescent="0.2">
      <c r="B165" s="2">
        <v>93056000000</v>
      </c>
      <c r="C165" t="s">
        <v>47</v>
      </c>
    </row>
    <row r="166" spans="2:3" hidden="1" x14ac:dyDescent="0.2">
      <c r="B166" s="2">
        <v>13936000000</v>
      </c>
      <c r="C166" t="s">
        <v>25</v>
      </c>
    </row>
    <row r="167" spans="2:3" hidden="1" x14ac:dyDescent="0.2">
      <c r="B167" s="2">
        <v>9413000000</v>
      </c>
      <c r="C167" t="s">
        <v>25</v>
      </c>
    </row>
    <row r="168" spans="2:3" hidden="1" x14ac:dyDescent="0.2">
      <c r="B168" s="2">
        <v>10719000000</v>
      </c>
      <c r="C168" t="s">
        <v>25</v>
      </c>
    </row>
    <row r="169" spans="2:3" hidden="1" x14ac:dyDescent="0.2">
      <c r="B169" s="2">
        <v>9968000000</v>
      </c>
      <c r="C169" t="s">
        <v>25</v>
      </c>
    </row>
    <row r="170" spans="2:3" hidden="1" x14ac:dyDescent="0.2">
      <c r="B170" s="2">
        <v>10914585000</v>
      </c>
      <c r="C170" t="s">
        <v>19</v>
      </c>
    </row>
    <row r="171" spans="2:3" hidden="1" x14ac:dyDescent="0.2">
      <c r="B171" s="2">
        <v>11503963000</v>
      </c>
      <c r="C171" t="s">
        <v>19</v>
      </c>
    </row>
    <row r="172" spans="2:3" hidden="1" x14ac:dyDescent="0.2">
      <c r="B172" s="2">
        <v>11881176000</v>
      </c>
      <c r="C172" t="s">
        <v>19</v>
      </c>
    </row>
    <row r="173" spans="2:3" hidden="1" x14ac:dyDescent="0.2">
      <c r="B173" s="2">
        <v>12103887000</v>
      </c>
      <c r="C173" t="s">
        <v>19</v>
      </c>
    </row>
    <row r="174" spans="2:3" hidden="1" x14ac:dyDescent="0.2">
      <c r="B174" s="2">
        <v>10737000000</v>
      </c>
      <c r="C174" t="s">
        <v>47</v>
      </c>
    </row>
    <row r="175" spans="2:3" hidden="1" x14ac:dyDescent="0.2">
      <c r="B175" s="2">
        <v>10543000000</v>
      </c>
      <c r="C175" t="s">
        <v>47</v>
      </c>
    </row>
    <row r="176" spans="2:3" hidden="1" x14ac:dyDescent="0.2">
      <c r="B176" s="2">
        <v>9998000000</v>
      </c>
      <c r="C176" t="s">
        <v>47</v>
      </c>
    </row>
    <row r="177" spans="2:3" hidden="1" x14ac:dyDescent="0.2">
      <c r="B177" s="2">
        <v>10346000000</v>
      </c>
      <c r="C177" t="s">
        <v>47</v>
      </c>
    </row>
    <row r="178" spans="2:3" hidden="1" x14ac:dyDescent="0.2">
      <c r="B178" s="2">
        <v>45457000000</v>
      </c>
      <c r="C178" t="s">
        <v>19</v>
      </c>
    </row>
    <row r="179" spans="2:3" hidden="1" x14ac:dyDescent="0.2">
      <c r="B179" s="2">
        <v>40611000000</v>
      </c>
      <c r="C179" t="s">
        <v>19</v>
      </c>
    </row>
    <row r="180" spans="2:3" hidden="1" x14ac:dyDescent="0.2">
      <c r="B180" s="2">
        <v>40339000000</v>
      </c>
      <c r="C180" t="s">
        <v>19</v>
      </c>
    </row>
    <row r="181" spans="2:3" hidden="1" x14ac:dyDescent="0.2">
      <c r="B181" s="2">
        <v>39528000000</v>
      </c>
      <c r="C181" t="s">
        <v>19</v>
      </c>
    </row>
    <row r="182" spans="2:3" hidden="1" x14ac:dyDescent="0.2">
      <c r="B182" s="2">
        <v>3049500000</v>
      </c>
      <c r="C182" t="s">
        <v>25</v>
      </c>
    </row>
    <row r="183" spans="2:3" hidden="1" x14ac:dyDescent="0.2">
      <c r="B183" s="2">
        <v>3323600000</v>
      </c>
      <c r="C183" t="s">
        <v>25</v>
      </c>
    </row>
    <row r="184" spans="2:3" hidden="1" x14ac:dyDescent="0.2">
      <c r="B184" s="2">
        <v>3416000000</v>
      </c>
      <c r="C184" t="s">
        <v>25</v>
      </c>
    </row>
    <row r="185" spans="2:3" hidden="1" x14ac:dyDescent="0.2">
      <c r="B185" s="2">
        <v>3714000000</v>
      </c>
      <c r="C185" t="s">
        <v>25</v>
      </c>
    </row>
    <row r="186" spans="2:3" hidden="1" x14ac:dyDescent="0.2">
      <c r="B186" s="2">
        <v>8054000000</v>
      </c>
      <c r="C186" t="s">
        <v>25</v>
      </c>
    </row>
    <row r="187" spans="2:3" hidden="1" x14ac:dyDescent="0.2">
      <c r="B187" s="2">
        <v>8446000000</v>
      </c>
      <c r="C187" t="s">
        <v>25</v>
      </c>
    </row>
    <row r="188" spans="2:3" hidden="1" x14ac:dyDescent="0.2">
      <c r="B188" s="2">
        <v>10282000000</v>
      </c>
      <c r="C188" t="s">
        <v>25</v>
      </c>
    </row>
    <row r="189" spans="2:3" hidden="1" x14ac:dyDescent="0.2">
      <c r="B189" s="2">
        <v>12483000000</v>
      </c>
      <c r="C189" t="s">
        <v>25</v>
      </c>
    </row>
    <row r="190" spans="2:3" hidden="1" x14ac:dyDescent="0.2">
      <c r="B190" s="2">
        <v>6932200000</v>
      </c>
      <c r="C190" t="s">
        <v>25</v>
      </c>
    </row>
    <row r="191" spans="2:3" hidden="1" x14ac:dyDescent="0.2">
      <c r="B191" s="2">
        <v>9703300000</v>
      </c>
      <c r="C191" t="s">
        <v>25</v>
      </c>
    </row>
    <row r="192" spans="2:3" hidden="1" x14ac:dyDescent="0.2">
      <c r="B192" s="2">
        <v>10763800000</v>
      </c>
      <c r="C192" t="s">
        <v>25</v>
      </c>
    </row>
    <row r="193" spans="2:3" hidden="1" x14ac:dyDescent="0.2">
      <c r="B193" s="2">
        <v>11448800000</v>
      </c>
      <c r="C193" t="s">
        <v>25</v>
      </c>
    </row>
    <row r="194" spans="2:3" hidden="1" x14ac:dyDescent="0.2">
      <c r="B194" s="2">
        <v>8735700000</v>
      </c>
      <c r="C194" t="s">
        <v>59</v>
      </c>
    </row>
    <row r="195" spans="2:3" hidden="1" x14ac:dyDescent="0.2">
      <c r="B195" s="2">
        <v>8468100000</v>
      </c>
      <c r="C195" t="s">
        <v>59</v>
      </c>
    </row>
    <row r="196" spans="2:3" hidden="1" x14ac:dyDescent="0.2">
      <c r="B196" s="2">
        <v>8570000000</v>
      </c>
      <c r="C196" t="s">
        <v>59</v>
      </c>
    </row>
    <row r="197" spans="2:3" hidden="1" x14ac:dyDescent="0.2">
      <c r="B197" s="2">
        <v>7997000000</v>
      </c>
      <c r="C197" t="s">
        <v>59</v>
      </c>
    </row>
    <row r="198" spans="2:3" hidden="1" x14ac:dyDescent="0.2">
      <c r="B198" s="2">
        <v>17621000000</v>
      </c>
      <c r="C198" t="s">
        <v>25</v>
      </c>
    </row>
    <row r="199" spans="2:3" hidden="1" x14ac:dyDescent="0.2">
      <c r="B199" s="2">
        <v>16385000000</v>
      </c>
      <c r="C199" t="s">
        <v>25</v>
      </c>
    </row>
    <row r="200" spans="2:3" hidden="1" x14ac:dyDescent="0.2">
      <c r="B200" s="2">
        <v>15879000000</v>
      </c>
      <c r="C200" t="s">
        <v>25</v>
      </c>
    </row>
    <row r="201" spans="2:3" hidden="1" x14ac:dyDescent="0.2">
      <c r="B201" s="2">
        <v>16560000000</v>
      </c>
      <c r="C201" t="s">
        <v>25</v>
      </c>
    </row>
    <row r="202" spans="2:3" hidden="1" x14ac:dyDescent="0.2">
      <c r="B202" s="2">
        <v>7249000000</v>
      </c>
      <c r="C202" t="s">
        <v>25</v>
      </c>
    </row>
    <row r="203" spans="2:3" hidden="1" x14ac:dyDescent="0.2">
      <c r="B203" s="2">
        <v>7143000000</v>
      </c>
      <c r="C203" t="s">
        <v>25</v>
      </c>
    </row>
    <row r="204" spans="2:3" hidden="1" x14ac:dyDescent="0.2">
      <c r="B204" s="2">
        <v>7380000000</v>
      </c>
      <c r="C204" t="s">
        <v>25</v>
      </c>
    </row>
    <row r="205" spans="2:3" hidden="1" x14ac:dyDescent="0.2">
      <c r="B205" s="2">
        <v>7477000000</v>
      </c>
      <c r="C205" t="s">
        <v>25</v>
      </c>
    </row>
    <row r="206" spans="2:3" hidden="1" x14ac:dyDescent="0.2">
      <c r="B206" s="2">
        <v>7436600000</v>
      </c>
      <c r="C206" t="s">
        <v>19</v>
      </c>
    </row>
    <row r="207" spans="2:3" hidden="1" x14ac:dyDescent="0.2">
      <c r="B207" s="2">
        <v>8305100000</v>
      </c>
      <c r="C207" t="s">
        <v>19</v>
      </c>
    </row>
    <row r="208" spans="2:3" hidden="1" x14ac:dyDescent="0.2">
      <c r="B208" s="2">
        <v>8023200000</v>
      </c>
      <c r="C208" t="s">
        <v>19</v>
      </c>
    </row>
    <row r="209" spans="2:3" hidden="1" x14ac:dyDescent="0.2">
      <c r="B209" s="2">
        <v>9071000000</v>
      </c>
      <c r="C209" t="s">
        <v>19</v>
      </c>
    </row>
    <row r="210" spans="2:3" hidden="1" x14ac:dyDescent="0.2">
      <c r="B210" s="2">
        <v>1847186000</v>
      </c>
      <c r="C210" t="s">
        <v>52</v>
      </c>
    </row>
    <row r="211" spans="2:3" hidden="1" x14ac:dyDescent="0.2">
      <c r="B211" s="2">
        <v>2135539000</v>
      </c>
      <c r="C211" t="s">
        <v>52</v>
      </c>
    </row>
    <row r="212" spans="2:3" hidden="1" x14ac:dyDescent="0.2">
      <c r="B212" s="2">
        <v>2396998000</v>
      </c>
      <c r="C212" t="s">
        <v>52</v>
      </c>
    </row>
    <row r="213" spans="2:3" hidden="1" x14ac:dyDescent="0.2">
      <c r="B213" s="2">
        <v>2490821000</v>
      </c>
      <c r="C213" t="s">
        <v>52</v>
      </c>
    </row>
    <row r="214" spans="2:3" hidden="1" x14ac:dyDescent="0.2">
      <c r="B214" s="2">
        <v>13469300000</v>
      </c>
      <c r="C214" t="s">
        <v>36</v>
      </c>
    </row>
    <row r="215" spans="2:3" hidden="1" x14ac:dyDescent="0.2">
      <c r="B215" s="2">
        <v>11838200000</v>
      </c>
      <c r="C215" t="s">
        <v>36</v>
      </c>
    </row>
    <row r="216" spans="2:3" hidden="1" x14ac:dyDescent="0.2">
      <c r="B216" s="2">
        <v>11937000000</v>
      </c>
      <c r="C216" t="s">
        <v>36</v>
      </c>
    </row>
    <row r="217" spans="2:3" hidden="1" x14ac:dyDescent="0.2">
      <c r="B217" s="2">
        <v>11642900000</v>
      </c>
      <c r="C217" t="s">
        <v>36</v>
      </c>
    </row>
    <row r="218" spans="2:3" hidden="1" x14ac:dyDescent="0.2">
      <c r="B218" s="2">
        <v>101093000000</v>
      </c>
      <c r="C218" t="s">
        <v>25</v>
      </c>
    </row>
    <row r="219" spans="2:3" hidden="1" x14ac:dyDescent="0.2">
      <c r="B219" s="2">
        <v>91084000000</v>
      </c>
      <c r="C219" t="s">
        <v>25</v>
      </c>
    </row>
    <row r="220" spans="2:3" hidden="1" x14ac:dyDescent="0.2">
      <c r="B220" s="2">
        <v>102531000000</v>
      </c>
      <c r="C220" t="s">
        <v>25</v>
      </c>
    </row>
    <row r="221" spans="2:3" hidden="1" x14ac:dyDescent="0.2">
      <c r="B221" s="2">
        <v>121546000000</v>
      </c>
      <c r="C221" t="s">
        <v>25</v>
      </c>
    </row>
    <row r="222" spans="2:3" hidden="1" x14ac:dyDescent="0.2">
      <c r="B222" s="2">
        <v>55656000000</v>
      </c>
      <c r="C222" t="s">
        <v>13</v>
      </c>
    </row>
    <row r="223" spans="2:3" hidden="1" x14ac:dyDescent="0.2">
      <c r="B223" s="2">
        <v>55184000000</v>
      </c>
      <c r="C223" t="s">
        <v>13</v>
      </c>
    </row>
    <row r="224" spans="2:3" hidden="1" x14ac:dyDescent="0.2">
      <c r="B224" s="2">
        <v>47011000000</v>
      </c>
      <c r="C224" t="s">
        <v>13</v>
      </c>
    </row>
    <row r="225" spans="2:3" hidden="1" x14ac:dyDescent="0.2">
      <c r="B225" s="2">
        <v>38537000000</v>
      </c>
      <c r="C225" t="s">
        <v>13</v>
      </c>
    </row>
    <row r="226" spans="2:3" hidden="1" x14ac:dyDescent="0.2">
      <c r="B226" s="2">
        <v>17936000000</v>
      </c>
      <c r="C226" t="s">
        <v>47</v>
      </c>
    </row>
    <row r="227" spans="2:3" hidden="1" x14ac:dyDescent="0.2">
      <c r="B227" s="2">
        <v>19261000000</v>
      </c>
      <c r="C227" t="s">
        <v>47</v>
      </c>
    </row>
    <row r="228" spans="2:3" hidden="1" x14ac:dyDescent="0.2">
      <c r="B228" s="2">
        <v>19171000000</v>
      </c>
      <c r="C228" t="s">
        <v>47</v>
      </c>
    </row>
    <row r="229" spans="2:3" hidden="1" x14ac:dyDescent="0.2">
      <c r="B229" s="2">
        <v>18987000000</v>
      </c>
      <c r="C229" t="s">
        <v>47</v>
      </c>
    </row>
    <row r="230" spans="2:3" hidden="1" x14ac:dyDescent="0.2">
      <c r="B230" s="2">
        <v>6514099000</v>
      </c>
      <c r="C230" t="s">
        <v>52</v>
      </c>
    </row>
    <row r="231" spans="2:3" hidden="1" x14ac:dyDescent="0.2">
      <c r="B231" s="2">
        <v>7184794000</v>
      </c>
      <c r="C231" t="s">
        <v>52</v>
      </c>
    </row>
    <row r="232" spans="2:3" hidden="1" x14ac:dyDescent="0.2">
      <c r="B232" s="2">
        <v>9049918000</v>
      </c>
      <c r="C232" t="s">
        <v>52</v>
      </c>
    </row>
    <row r="233" spans="2:3" hidden="1" x14ac:dyDescent="0.2">
      <c r="B233" s="2">
        <v>10855810000</v>
      </c>
      <c r="C233" t="s">
        <v>52</v>
      </c>
    </row>
    <row r="234" spans="2:3" hidden="1" x14ac:dyDescent="0.2">
      <c r="B234" s="2">
        <v>2432680000</v>
      </c>
      <c r="C234" t="s">
        <v>52</v>
      </c>
    </row>
    <row r="235" spans="2:3" hidden="1" x14ac:dyDescent="0.2">
      <c r="B235" s="2">
        <v>2865751000</v>
      </c>
      <c r="C235" t="s">
        <v>52</v>
      </c>
    </row>
    <row r="236" spans="2:3" hidden="1" x14ac:dyDescent="0.2">
      <c r="B236" s="2">
        <v>3538756000</v>
      </c>
      <c r="C236" t="s">
        <v>52</v>
      </c>
    </row>
    <row r="237" spans="2:3" hidden="1" x14ac:dyDescent="0.2">
      <c r="B237" s="2">
        <v>3663851000</v>
      </c>
      <c r="C237" t="s">
        <v>52</v>
      </c>
    </row>
    <row r="238" spans="2:3" hidden="1" x14ac:dyDescent="0.2">
      <c r="B238" s="2">
        <v>15456000000</v>
      </c>
      <c r="C238" t="s">
        <v>19</v>
      </c>
    </row>
    <row r="239" spans="2:3" hidden="1" x14ac:dyDescent="0.2">
      <c r="B239" s="2">
        <v>15884000000</v>
      </c>
      <c r="C239" t="s">
        <v>19</v>
      </c>
    </row>
    <row r="240" spans="2:3" hidden="1" x14ac:dyDescent="0.2">
      <c r="B240" s="2">
        <v>15714000000</v>
      </c>
      <c r="C240" t="s">
        <v>19</v>
      </c>
    </row>
    <row r="241" spans="2:3" hidden="1" x14ac:dyDescent="0.2">
      <c r="B241" s="2">
        <v>16389000000</v>
      </c>
      <c r="C241" t="s">
        <v>19</v>
      </c>
    </row>
    <row r="242" spans="2:3" hidden="1" x14ac:dyDescent="0.2">
      <c r="B242" s="2">
        <v>6493900000</v>
      </c>
      <c r="C242" t="s">
        <v>25</v>
      </c>
    </row>
    <row r="243" spans="2:3" hidden="1" x14ac:dyDescent="0.2">
      <c r="B243" s="2">
        <v>7670400000</v>
      </c>
      <c r="C243" t="s">
        <v>25</v>
      </c>
    </row>
    <row r="244" spans="2:3" hidden="1" x14ac:dyDescent="0.2">
      <c r="B244" s="2">
        <v>9256000000</v>
      </c>
      <c r="C244" t="s">
        <v>25</v>
      </c>
    </row>
    <row r="245" spans="2:3" hidden="1" x14ac:dyDescent="0.2">
      <c r="B245" s="2">
        <v>11229200000</v>
      </c>
      <c r="C245" t="s">
        <v>25</v>
      </c>
    </row>
    <row r="246" spans="2:3" hidden="1" x14ac:dyDescent="0.2">
      <c r="B246" s="2">
        <v>2910748000</v>
      </c>
      <c r="C246" t="s">
        <v>25</v>
      </c>
    </row>
    <row r="247" spans="2:3" hidden="1" x14ac:dyDescent="0.2">
      <c r="B247" s="2">
        <v>3402703000</v>
      </c>
      <c r="C247" t="s">
        <v>25</v>
      </c>
    </row>
    <row r="248" spans="2:3" hidden="1" x14ac:dyDescent="0.2">
      <c r="B248" s="2">
        <v>4425267000</v>
      </c>
      <c r="C248" t="s">
        <v>25</v>
      </c>
    </row>
    <row r="249" spans="2:3" hidden="1" x14ac:dyDescent="0.2">
      <c r="B249" s="2">
        <v>4796473000</v>
      </c>
      <c r="C249" t="s">
        <v>25</v>
      </c>
    </row>
    <row r="250" spans="2:3" hidden="1" x14ac:dyDescent="0.2">
      <c r="B250" s="2">
        <v>6104000000</v>
      </c>
      <c r="C250" t="s">
        <v>59</v>
      </c>
    </row>
    <row r="251" spans="2:3" hidden="1" x14ac:dyDescent="0.2">
      <c r="B251" s="2">
        <v>5474700000</v>
      </c>
      <c r="C251" t="s">
        <v>59</v>
      </c>
    </row>
    <row r="252" spans="2:3" hidden="1" x14ac:dyDescent="0.2">
      <c r="B252" s="2">
        <v>4743200000</v>
      </c>
      <c r="C252" t="s">
        <v>59</v>
      </c>
    </row>
    <row r="253" spans="2:3" hidden="1" x14ac:dyDescent="0.2">
      <c r="B253" s="2">
        <v>4308300000</v>
      </c>
      <c r="C253" t="s">
        <v>59</v>
      </c>
    </row>
    <row r="254" spans="2:3" hidden="1" x14ac:dyDescent="0.2">
      <c r="B254" s="2">
        <v>5513000000</v>
      </c>
      <c r="C254" t="s">
        <v>47</v>
      </c>
    </row>
    <row r="255" spans="2:3" hidden="1" x14ac:dyDescent="0.2">
      <c r="B255" s="2">
        <v>5133000000</v>
      </c>
      <c r="C255" t="s">
        <v>47</v>
      </c>
    </row>
    <row r="256" spans="2:3" hidden="1" x14ac:dyDescent="0.2">
      <c r="B256" s="2">
        <v>5342000000</v>
      </c>
      <c r="C256" t="s">
        <v>47</v>
      </c>
    </row>
    <row r="257" spans="2:7" hidden="1" x14ac:dyDescent="0.2">
      <c r="B257" s="2">
        <v>5276000000</v>
      </c>
      <c r="C257" t="s">
        <v>47</v>
      </c>
    </row>
    <row r="258" spans="2:7" hidden="1" x14ac:dyDescent="0.2">
      <c r="B258" s="2">
        <v>2921900000</v>
      </c>
      <c r="C258" t="s">
        <v>36</v>
      </c>
    </row>
    <row r="259" spans="2:7" hidden="1" x14ac:dyDescent="0.2">
      <c r="B259" s="2">
        <v>3194300000</v>
      </c>
      <c r="C259" t="s">
        <v>36</v>
      </c>
    </row>
    <row r="260" spans="2:7" hidden="1" x14ac:dyDescent="0.2">
      <c r="B260" s="2">
        <v>3297600000</v>
      </c>
      <c r="C260" t="s">
        <v>36</v>
      </c>
    </row>
    <row r="261" spans="2:7" hidden="1" x14ac:dyDescent="0.2">
      <c r="B261" s="2">
        <v>3394800000</v>
      </c>
      <c r="C261" t="s">
        <v>36</v>
      </c>
    </row>
    <row r="262" spans="2:7" ht="17" hidden="1" thickBot="1" x14ac:dyDescent="0.25">
      <c r="B262" s="2">
        <v>11359113000</v>
      </c>
      <c r="C262" t="s">
        <v>13</v>
      </c>
      <c r="F262" s="3" t="s">
        <v>577</v>
      </c>
      <c r="G262" s="4">
        <v>20721007249.122807</v>
      </c>
    </row>
    <row r="263" spans="2:7" ht="17" hidden="1" thickBot="1" x14ac:dyDescent="0.25">
      <c r="B263" s="2">
        <v>12752076000</v>
      </c>
      <c r="C263" t="s">
        <v>13</v>
      </c>
      <c r="F263" s="5" t="s">
        <v>578</v>
      </c>
      <c r="G263" s="6">
        <v>8077927500</v>
      </c>
    </row>
    <row r="264" spans="2:7" ht="17" hidden="1" thickBot="1" x14ac:dyDescent="0.25">
      <c r="B264" s="2">
        <v>13470067000</v>
      </c>
      <c r="C264" t="s">
        <v>13</v>
      </c>
      <c r="F264" s="5" t="s">
        <v>579</v>
      </c>
      <c r="G264" s="9">
        <v>9968000000</v>
      </c>
    </row>
    <row r="265" spans="2:7" ht="17" hidden="1" thickBot="1" x14ac:dyDescent="0.25">
      <c r="B265" s="2">
        <v>13476084000</v>
      </c>
      <c r="C265" t="s">
        <v>13</v>
      </c>
      <c r="F265" s="5" t="s">
        <v>580</v>
      </c>
      <c r="G265" s="6">
        <v>35432922396000</v>
      </c>
    </row>
    <row r="266" spans="2:7" ht="17" hidden="1" thickBot="1" x14ac:dyDescent="0.25">
      <c r="B266" s="2">
        <v>8155000000</v>
      </c>
      <c r="C266" t="s">
        <v>19</v>
      </c>
      <c r="F266" s="5" t="s">
        <v>581</v>
      </c>
      <c r="G266" s="6">
        <v>41638455339.417374</v>
      </c>
    </row>
    <row r="267" spans="2:7" ht="17" hidden="1" thickBot="1" x14ac:dyDescent="0.25">
      <c r="B267" s="2">
        <v>9108000000</v>
      </c>
      <c r="C267" t="s">
        <v>19</v>
      </c>
      <c r="F267" s="5" t="s">
        <v>582</v>
      </c>
      <c r="G267" s="6">
        <v>1514000</v>
      </c>
    </row>
    <row r="268" spans="2:7" ht="17" hidden="1" thickBot="1" x14ac:dyDescent="0.25">
      <c r="B268" s="2">
        <v>9754000000</v>
      </c>
      <c r="C268" t="s">
        <v>19</v>
      </c>
      <c r="F268" s="5" t="s">
        <v>583</v>
      </c>
      <c r="G268" s="6">
        <v>485651000000</v>
      </c>
    </row>
    <row r="269" spans="2:7" ht="17" hidden="1" thickBot="1" x14ac:dyDescent="0.25">
      <c r="B269" s="2">
        <v>29003000000</v>
      </c>
      <c r="C269" t="s">
        <v>19</v>
      </c>
      <c r="F269" s="7" t="s">
        <v>584</v>
      </c>
      <c r="G269" s="8">
        <v>485649486000</v>
      </c>
    </row>
    <row r="270" spans="2:7" ht="17" hidden="1" thickBot="1" x14ac:dyDescent="0.25">
      <c r="B270" s="2">
        <v>29119000000</v>
      </c>
      <c r="C270" t="s">
        <v>25</v>
      </c>
    </row>
    <row r="271" spans="2:7" ht="17" hidden="1" thickBot="1" x14ac:dyDescent="0.25">
      <c r="B271" s="2">
        <v>32380000000</v>
      </c>
      <c r="C271" t="s">
        <v>25</v>
      </c>
    </row>
    <row r="272" spans="2:7" ht="17" hidden="1" thickBot="1" x14ac:dyDescent="0.25">
      <c r="B272" s="2">
        <v>34914000000</v>
      </c>
      <c r="C272" t="s">
        <v>25</v>
      </c>
    </row>
    <row r="273" spans="2:3" ht="17" hidden="1" thickBot="1" x14ac:dyDescent="0.25">
      <c r="B273" s="2">
        <v>37876000000</v>
      </c>
      <c r="C273" t="s">
        <v>25</v>
      </c>
    </row>
    <row r="274" spans="2:3" ht="17" hidden="1" thickBot="1" x14ac:dyDescent="0.25">
      <c r="B274" s="2">
        <v>4111000000</v>
      </c>
      <c r="C274" t="s">
        <v>47</v>
      </c>
    </row>
    <row r="275" spans="2:3" ht="17" hidden="1" thickBot="1" x14ac:dyDescent="0.25">
      <c r="B275" s="2">
        <v>4531000000</v>
      </c>
      <c r="C275" t="s">
        <v>47</v>
      </c>
    </row>
    <row r="276" spans="2:3" ht="17" hidden="1" thickBot="1" x14ac:dyDescent="0.25">
      <c r="B276" s="2">
        <v>4945000000</v>
      </c>
      <c r="C276" t="s">
        <v>47</v>
      </c>
    </row>
    <row r="277" spans="2:3" ht="17" hidden="1" thickBot="1" x14ac:dyDescent="0.25">
      <c r="B277" s="2">
        <v>5142000000</v>
      </c>
      <c r="C277" t="s">
        <v>47</v>
      </c>
    </row>
    <row r="278" spans="2:3" ht="17" hidden="1" thickBot="1" x14ac:dyDescent="0.25">
      <c r="B278" s="2">
        <v>17085000000</v>
      </c>
      <c r="C278" t="s">
        <v>36</v>
      </c>
    </row>
    <row r="279" spans="2:3" ht="17" hidden="1" thickBot="1" x14ac:dyDescent="0.25">
      <c r="B279" s="2">
        <v>17420000000</v>
      </c>
      <c r="C279" t="s">
        <v>36</v>
      </c>
    </row>
    <row r="280" spans="2:3" ht="17" hidden="1" thickBot="1" x14ac:dyDescent="0.25">
      <c r="B280" s="2">
        <v>17277000000</v>
      </c>
      <c r="C280" t="s">
        <v>36</v>
      </c>
    </row>
    <row r="281" spans="2:3" ht="17" hidden="1" thickBot="1" x14ac:dyDescent="0.25">
      <c r="B281" s="2">
        <v>16034000000</v>
      </c>
      <c r="C281" t="s">
        <v>36</v>
      </c>
    </row>
    <row r="282" spans="2:3" ht="17" hidden="1" thickBot="1" x14ac:dyDescent="0.25">
      <c r="B282" s="2">
        <v>5533000000</v>
      </c>
      <c r="C282" t="s">
        <v>36</v>
      </c>
    </row>
    <row r="283" spans="2:3" ht="17" hidden="1" thickBot="1" x14ac:dyDescent="0.25">
      <c r="B283" s="2">
        <v>5514000000</v>
      </c>
      <c r="C283" t="s">
        <v>36</v>
      </c>
    </row>
    <row r="284" spans="2:3" ht="17" hidden="1" thickBot="1" x14ac:dyDescent="0.25">
      <c r="B284" s="2">
        <v>5655000000</v>
      </c>
      <c r="C284" t="s">
        <v>36</v>
      </c>
    </row>
    <row r="285" spans="2:3" ht="17" hidden="1" thickBot="1" x14ac:dyDescent="0.25">
      <c r="B285" s="2">
        <v>5761000000</v>
      </c>
      <c r="C285" t="s">
        <v>36</v>
      </c>
    </row>
    <row r="286" spans="2:3" ht="17" hidden="1" thickBot="1" x14ac:dyDescent="0.25">
      <c r="B286" s="2">
        <v>2666000000</v>
      </c>
      <c r="C286" t="s">
        <v>47</v>
      </c>
    </row>
    <row r="287" spans="2:3" ht="17" hidden="1" thickBot="1" x14ac:dyDescent="0.25">
      <c r="B287" s="2">
        <v>2607000000</v>
      </c>
      <c r="C287" t="s">
        <v>47</v>
      </c>
    </row>
    <row r="288" spans="2:3" ht="17" hidden="1" thickBot="1" x14ac:dyDescent="0.25">
      <c r="B288" s="2">
        <v>2819000000</v>
      </c>
      <c r="C288" t="s">
        <v>47</v>
      </c>
    </row>
    <row r="289" spans="2:3" ht="17" hidden="1" thickBot="1" x14ac:dyDescent="0.25">
      <c r="B289" s="2">
        <v>2960000000</v>
      </c>
      <c r="C289" t="s">
        <v>47</v>
      </c>
    </row>
    <row r="290" spans="2:3" ht="17" hidden="1" thickBot="1" x14ac:dyDescent="0.25">
      <c r="B290" s="2">
        <v>3214591000</v>
      </c>
      <c r="C290" t="s">
        <v>19</v>
      </c>
    </row>
    <row r="291" spans="2:3" ht="17" hidden="1" thickBot="1" x14ac:dyDescent="0.25">
      <c r="B291" s="2">
        <v>4108269000</v>
      </c>
      <c r="C291" t="s">
        <v>19</v>
      </c>
    </row>
    <row r="292" spans="2:3" ht="17" hidden="1" thickBot="1" x14ac:dyDescent="0.25">
      <c r="B292" s="2">
        <v>4501223000</v>
      </c>
      <c r="C292" t="s">
        <v>19</v>
      </c>
    </row>
    <row r="293" spans="2:3" ht="17" hidden="1" thickBot="1" x14ac:dyDescent="0.25">
      <c r="B293" s="2">
        <v>3904384000</v>
      </c>
      <c r="C293" t="s">
        <v>19</v>
      </c>
    </row>
    <row r="294" spans="2:3" ht="17" hidden="1" thickBot="1" x14ac:dyDescent="0.25">
      <c r="B294" s="2">
        <v>17301000000</v>
      </c>
      <c r="C294" t="s">
        <v>13</v>
      </c>
    </row>
    <row r="295" spans="2:3" ht="17" hidden="1" thickBot="1" x14ac:dyDescent="0.25">
      <c r="B295" s="2">
        <v>19221000000</v>
      </c>
      <c r="C295" t="s">
        <v>13</v>
      </c>
    </row>
    <row r="296" spans="2:3" ht="17" hidden="1" thickBot="1" x14ac:dyDescent="0.25">
      <c r="B296" s="2">
        <v>19110000000</v>
      </c>
      <c r="C296" t="s">
        <v>13</v>
      </c>
    </row>
    <row r="297" spans="2:3" ht="17" hidden="1" thickBot="1" x14ac:dyDescent="0.25">
      <c r="B297" s="2">
        <v>17509000000</v>
      </c>
      <c r="C297" t="s">
        <v>13</v>
      </c>
    </row>
    <row r="298" spans="2:3" ht="17" hidden="1" thickBot="1" x14ac:dyDescent="0.25">
      <c r="B298" s="2">
        <v>6566000000</v>
      </c>
      <c r="C298" t="s">
        <v>42</v>
      </c>
    </row>
    <row r="299" spans="2:3" ht="17" hidden="1" thickBot="1" x14ac:dyDescent="0.25">
      <c r="B299" s="2">
        <v>7179000000</v>
      </c>
      <c r="C299" t="s">
        <v>42</v>
      </c>
    </row>
    <row r="300" spans="2:3" ht="17" hidden="1" thickBot="1" x14ac:dyDescent="0.25">
      <c r="B300" s="2">
        <v>6456000000</v>
      </c>
      <c r="C300" t="s">
        <v>42</v>
      </c>
    </row>
    <row r="301" spans="2:3" ht="17" hidden="1" thickBot="1" x14ac:dyDescent="0.25">
      <c r="B301" s="2">
        <v>6399000000</v>
      </c>
      <c r="C301" t="s">
        <v>42</v>
      </c>
    </row>
    <row r="302" spans="2:3" ht="17" hidden="1" thickBot="1" x14ac:dyDescent="0.25">
      <c r="B302" s="2">
        <v>8110000000</v>
      </c>
      <c r="C302" t="s">
        <v>25</v>
      </c>
    </row>
    <row r="303" spans="2:3" ht="17" hidden="1" thickBot="1" x14ac:dyDescent="0.25">
      <c r="B303" s="2">
        <v>10863000000</v>
      </c>
      <c r="C303" t="s">
        <v>25</v>
      </c>
    </row>
    <row r="304" spans="2:3" ht="17" hidden="1" thickBot="1" x14ac:dyDescent="0.25">
      <c r="B304" s="2">
        <v>16560000000</v>
      </c>
      <c r="C304" t="s">
        <v>25</v>
      </c>
    </row>
    <row r="305" spans="2:7" ht="17" hidden="1" thickBot="1" x14ac:dyDescent="0.25">
      <c r="B305" s="2">
        <v>22760000000</v>
      </c>
      <c r="C305" t="s">
        <v>25</v>
      </c>
    </row>
    <row r="306" spans="2:7" ht="17" hidden="1" thickBot="1" x14ac:dyDescent="0.25">
      <c r="B306" s="2">
        <v>7452000000</v>
      </c>
      <c r="C306" t="s">
        <v>42</v>
      </c>
    </row>
    <row r="307" spans="2:7" ht="17" hidden="1" thickBot="1" x14ac:dyDescent="0.25">
      <c r="B307" s="2">
        <v>8106000000</v>
      </c>
      <c r="C307" t="s">
        <v>42</v>
      </c>
    </row>
    <row r="308" spans="2:7" ht="17" hidden="1" thickBot="1" x14ac:dyDescent="0.25">
      <c r="B308" s="2">
        <v>9226000000</v>
      </c>
      <c r="C308" t="s">
        <v>42</v>
      </c>
    </row>
    <row r="309" spans="2:7" ht="17" hidden="1" thickBot="1" x14ac:dyDescent="0.25">
      <c r="B309" s="2">
        <v>7386000000</v>
      </c>
      <c r="C309" t="s">
        <v>42</v>
      </c>
    </row>
    <row r="310" spans="2:7" ht="17" hidden="1" thickBot="1" x14ac:dyDescent="0.25">
      <c r="B310" s="2">
        <v>23771000000</v>
      </c>
      <c r="C310" t="s">
        <v>47</v>
      </c>
    </row>
    <row r="311" spans="2:7" ht="17" hidden="1" thickBot="1" x14ac:dyDescent="0.25">
      <c r="B311" s="2">
        <v>24176000000</v>
      </c>
      <c r="C311" t="s">
        <v>47</v>
      </c>
    </row>
    <row r="312" spans="2:7" ht="17" hidden="1" thickBot="1" x14ac:dyDescent="0.25">
      <c r="B312" s="2">
        <v>23869000000</v>
      </c>
      <c r="C312" t="s">
        <v>47</v>
      </c>
    </row>
    <row r="313" spans="2:7" ht="17" hidden="1" thickBot="1" x14ac:dyDescent="0.25">
      <c r="B313" s="2">
        <v>25038000000</v>
      </c>
      <c r="C313" t="s">
        <v>47</v>
      </c>
    </row>
    <row r="314" spans="2:7" hidden="1" x14ac:dyDescent="0.2">
      <c r="B314" s="2">
        <v>4474000000</v>
      </c>
      <c r="C314" t="s">
        <v>13</v>
      </c>
      <c r="F314" s="5" t="s">
        <v>580</v>
      </c>
      <c r="G314" s="6">
        <v>35432922396000</v>
      </c>
    </row>
    <row r="315" spans="2:7" hidden="1" x14ac:dyDescent="0.2">
      <c r="B315" s="2">
        <v>4979000000</v>
      </c>
      <c r="C315" t="s">
        <v>13</v>
      </c>
      <c r="F315" s="5" t="s">
        <v>581</v>
      </c>
      <c r="G315" s="6">
        <v>41638455339.417374</v>
      </c>
    </row>
    <row r="316" spans="2:7" hidden="1" x14ac:dyDescent="0.2">
      <c r="B316" s="2">
        <v>5244000000</v>
      </c>
      <c r="C316" t="s">
        <v>13</v>
      </c>
      <c r="F316" s="5" t="s">
        <v>582</v>
      </c>
      <c r="G316" s="6">
        <v>1514000</v>
      </c>
    </row>
    <row r="317" spans="2:7" hidden="1" x14ac:dyDescent="0.2">
      <c r="B317" s="2">
        <v>5259000000</v>
      </c>
      <c r="C317" t="s">
        <v>13</v>
      </c>
      <c r="F317" s="5" t="s">
        <v>583</v>
      </c>
      <c r="G317" s="6">
        <v>485651000000</v>
      </c>
    </row>
    <row r="318" spans="2:7" ht="17" hidden="1" thickBot="1" x14ac:dyDescent="0.25">
      <c r="B318" s="2">
        <v>1587725000</v>
      </c>
      <c r="C318" t="s">
        <v>25</v>
      </c>
      <c r="F318" s="7" t="s">
        <v>584</v>
      </c>
      <c r="G318" s="8">
        <v>485649486000</v>
      </c>
    </row>
    <row r="319" spans="2:7" hidden="1" x14ac:dyDescent="0.2">
      <c r="B319" s="2">
        <v>1717776000</v>
      </c>
      <c r="C319" t="s">
        <v>25</v>
      </c>
    </row>
    <row r="320" spans="2:7" hidden="1" x14ac:dyDescent="0.2">
      <c r="B320" s="2">
        <v>1797060000</v>
      </c>
      <c r="C320" t="s">
        <v>25</v>
      </c>
    </row>
    <row r="321" spans="2:3" hidden="1" x14ac:dyDescent="0.2">
      <c r="B321" s="2">
        <v>1966814000</v>
      </c>
      <c r="C321" t="s">
        <v>25</v>
      </c>
    </row>
    <row r="322" spans="2:3" hidden="1" x14ac:dyDescent="0.2">
      <c r="B322" s="2">
        <v>105156000000</v>
      </c>
      <c r="C322" t="s">
        <v>36</v>
      </c>
    </row>
    <row r="323" spans="2:3" hidden="1" x14ac:dyDescent="0.2">
      <c r="B323" s="2">
        <v>112640000000</v>
      </c>
      <c r="C323" t="s">
        <v>36</v>
      </c>
    </row>
    <row r="324" spans="2:3" hidden="1" x14ac:dyDescent="0.2">
      <c r="B324" s="2">
        <v>116199000000</v>
      </c>
      <c r="C324" t="s">
        <v>36</v>
      </c>
    </row>
    <row r="325" spans="2:3" hidden="1" x14ac:dyDescent="0.2">
      <c r="B325" s="2">
        <v>118719000000</v>
      </c>
      <c r="C325" t="s">
        <v>36</v>
      </c>
    </row>
    <row r="326" spans="2:3" hidden="1" x14ac:dyDescent="0.2">
      <c r="B326" s="2">
        <v>1577000</v>
      </c>
      <c r="C326" t="s">
        <v>36</v>
      </c>
    </row>
    <row r="327" spans="2:3" hidden="1" x14ac:dyDescent="0.2">
      <c r="B327" s="2">
        <v>1514000</v>
      </c>
      <c r="C327" t="s">
        <v>36</v>
      </c>
    </row>
    <row r="328" spans="2:3" hidden="1" x14ac:dyDescent="0.2">
      <c r="B328" s="2">
        <v>79562000</v>
      </c>
      <c r="C328" t="s">
        <v>36</v>
      </c>
    </row>
    <row r="329" spans="2:3" hidden="1" x14ac:dyDescent="0.2">
      <c r="B329" s="2">
        <v>99642000</v>
      </c>
      <c r="C329" t="s">
        <v>36</v>
      </c>
    </row>
    <row r="330" spans="2:3" hidden="1" x14ac:dyDescent="0.2">
      <c r="B330" s="2">
        <v>8052000000</v>
      </c>
      <c r="C330" t="s">
        <v>36</v>
      </c>
    </row>
    <row r="331" spans="2:3" hidden="1" x14ac:dyDescent="0.2">
      <c r="B331" s="2">
        <v>8268000000</v>
      </c>
      <c r="C331" t="s">
        <v>36</v>
      </c>
    </row>
    <row r="332" spans="2:3" hidden="1" x14ac:dyDescent="0.2">
      <c r="B332" s="2">
        <v>8082000000</v>
      </c>
      <c r="C332" t="s">
        <v>36</v>
      </c>
    </row>
    <row r="333" spans="2:3" hidden="1" x14ac:dyDescent="0.2">
      <c r="B333" s="2">
        <v>7961000000</v>
      </c>
      <c r="C333" t="s">
        <v>36</v>
      </c>
    </row>
    <row r="334" spans="2:3" hidden="1" x14ac:dyDescent="0.2">
      <c r="B334" s="2">
        <v>12026000000</v>
      </c>
      <c r="C334" t="s">
        <v>13</v>
      </c>
    </row>
    <row r="335" spans="2:3" hidden="1" x14ac:dyDescent="0.2">
      <c r="B335" s="2">
        <v>12669000000</v>
      </c>
      <c r="C335" t="s">
        <v>13</v>
      </c>
    </row>
    <row r="336" spans="2:3" hidden="1" x14ac:dyDescent="0.2">
      <c r="B336" s="2">
        <v>11811000000</v>
      </c>
      <c r="C336" t="s">
        <v>13</v>
      </c>
    </row>
    <row r="337" spans="2:3" hidden="1" x14ac:dyDescent="0.2">
      <c r="B337" s="2">
        <v>11069000000</v>
      </c>
      <c r="C337" t="s">
        <v>13</v>
      </c>
    </row>
    <row r="338" spans="2:3" hidden="1" x14ac:dyDescent="0.2">
      <c r="B338" s="2">
        <v>4245964000</v>
      </c>
      <c r="C338" t="s">
        <v>13</v>
      </c>
    </row>
    <row r="339" spans="2:3" hidden="1" x14ac:dyDescent="0.2">
      <c r="B339" s="2">
        <v>4193844000</v>
      </c>
      <c r="C339" t="s">
        <v>13</v>
      </c>
    </row>
    <row r="340" spans="2:3" hidden="1" x14ac:dyDescent="0.2">
      <c r="B340" s="2">
        <v>4476886000</v>
      </c>
      <c r="C340" t="s">
        <v>13</v>
      </c>
    </row>
    <row r="341" spans="2:3" hidden="1" x14ac:dyDescent="0.2">
      <c r="B341" s="2">
        <v>4905458000</v>
      </c>
      <c r="C341" t="s">
        <v>13</v>
      </c>
    </row>
    <row r="342" spans="2:3" hidden="1" x14ac:dyDescent="0.2">
      <c r="B342" s="2">
        <v>18376000000</v>
      </c>
      <c r="C342" t="s">
        <v>182</v>
      </c>
    </row>
    <row r="343" spans="2:3" hidden="1" x14ac:dyDescent="0.2">
      <c r="B343" s="2">
        <v>18095000000</v>
      </c>
      <c r="C343" t="s">
        <v>182</v>
      </c>
    </row>
    <row r="344" spans="2:3" hidden="1" x14ac:dyDescent="0.2">
      <c r="B344" s="2">
        <v>18031000000</v>
      </c>
      <c r="C344" t="s">
        <v>182</v>
      </c>
    </row>
    <row r="345" spans="2:3" hidden="1" x14ac:dyDescent="0.2">
      <c r="B345" s="2">
        <v>17900000000</v>
      </c>
      <c r="C345" t="s">
        <v>182</v>
      </c>
    </row>
    <row r="346" spans="2:3" hidden="1" x14ac:dyDescent="0.2">
      <c r="B346" s="2">
        <v>126761000000</v>
      </c>
      <c r="C346" t="s">
        <v>36</v>
      </c>
    </row>
    <row r="347" spans="2:3" hidden="1" x14ac:dyDescent="0.2">
      <c r="B347" s="2">
        <v>139367000000</v>
      </c>
      <c r="C347" t="s">
        <v>36</v>
      </c>
    </row>
    <row r="348" spans="2:3" hidden="1" x14ac:dyDescent="0.2">
      <c r="B348" s="2">
        <v>153290000000</v>
      </c>
      <c r="C348" t="s">
        <v>36</v>
      </c>
    </row>
    <row r="349" spans="2:3" hidden="1" x14ac:dyDescent="0.2">
      <c r="B349" s="2">
        <v>177526000000</v>
      </c>
      <c r="C349" t="s">
        <v>36</v>
      </c>
    </row>
    <row r="350" spans="2:3" x14ac:dyDescent="0.2">
      <c r="B350" s="11">
        <v>10184121000</v>
      </c>
      <c r="C350" s="10" t="s">
        <v>83</v>
      </c>
    </row>
    <row r="351" spans="2:3" x14ac:dyDescent="0.2">
      <c r="B351" s="11">
        <v>11871879000</v>
      </c>
      <c r="C351" s="10" t="s">
        <v>83</v>
      </c>
    </row>
    <row r="352" spans="2:3" x14ac:dyDescent="0.2">
      <c r="B352" s="11">
        <v>12195091000</v>
      </c>
      <c r="C352" s="10" t="s">
        <v>83</v>
      </c>
    </row>
    <row r="353" spans="2:3" x14ac:dyDescent="0.2">
      <c r="B353" s="11">
        <v>7763206000</v>
      </c>
      <c r="C353" s="10" t="s">
        <v>83</v>
      </c>
    </row>
    <row r="354" spans="2:3" hidden="1" x14ac:dyDescent="0.2">
      <c r="B354" s="2">
        <v>12835000000</v>
      </c>
      <c r="C354" t="s">
        <v>42</v>
      </c>
    </row>
    <row r="355" spans="2:3" hidden="1" x14ac:dyDescent="0.2">
      <c r="B355" s="2">
        <v>13120000000</v>
      </c>
      <c r="C355" t="s">
        <v>42</v>
      </c>
    </row>
    <row r="356" spans="2:3" hidden="1" x14ac:dyDescent="0.2">
      <c r="B356" s="2">
        <v>12436000000</v>
      </c>
      <c r="C356" t="s">
        <v>42</v>
      </c>
    </row>
    <row r="357" spans="2:3" hidden="1" x14ac:dyDescent="0.2">
      <c r="B357" s="2">
        <v>11683000000</v>
      </c>
      <c r="C357" t="s">
        <v>42</v>
      </c>
    </row>
    <row r="358" spans="2:3" hidden="1" x14ac:dyDescent="0.2">
      <c r="B358" s="2">
        <v>37773000000</v>
      </c>
      <c r="C358" t="s">
        <v>13</v>
      </c>
    </row>
    <row r="359" spans="2:3" hidden="1" x14ac:dyDescent="0.2">
      <c r="B359" s="2">
        <v>40362000000</v>
      </c>
      <c r="C359" t="s">
        <v>13</v>
      </c>
    </row>
    <row r="360" spans="2:3" hidden="1" x14ac:dyDescent="0.2">
      <c r="B360" s="2">
        <v>40704000000</v>
      </c>
      <c r="C360" t="s">
        <v>13</v>
      </c>
    </row>
    <row r="361" spans="2:3" hidden="1" x14ac:dyDescent="0.2">
      <c r="B361" s="2">
        <v>39639000000</v>
      </c>
      <c r="C361" t="s">
        <v>13</v>
      </c>
    </row>
    <row r="362" spans="2:3" hidden="1" x14ac:dyDescent="0.2">
      <c r="B362" s="2">
        <v>28998000000</v>
      </c>
      <c r="C362" t="s">
        <v>59</v>
      </c>
    </row>
    <row r="363" spans="2:3" hidden="1" x14ac:dyDescent="0.2">
      <c r="B363" s="2">
        <v>28406000000</v>
      </c>
      <c r="C363" t="s">
        <v>59</v>
      </c>
    </row>
    <row r="364" spans="2:3" hidden="1" x14ac:dyDescent="0.2">
      <c r="B364" s="2">
        <v>25130000000</v>
      </c>
      <c r="C364" t="s">
        <v>59</v>
      </c>
    </row>
    <row r="365" spans="2:3" hidden="1" x14ac:dyDescent="0.2">
      <c r="B365" s="2">
        <v>24594000000</v>
      </c>
      <c r="C365" t="s">
        <v>59</v>
      </c>
    </row>
    <row r="366" spans="2:3" hidden="1" x14ac:dyDescent="0.2">
      <c r="B366" s="2">
        <v>37795400000</v>
      </c>
      <c r="C366" t="s">
        <v>13</v>
      </c>
    </row>
    <row r="367" spans="2:3" hidden="1" x14ac:dyDescent="0.2">
      <c r="B367" s="2">
        <v>36066900000</v>
      </c>
      <c r="C367" t="s">
        <v>13</v>
      </c>
    </row>
    <row r="368" spans="2:3" hidden="1" x14ac:dyDescent="0.2">
      <c r="B368" s="2">
        <v>28862800000</v>
      </c>
      <c r="C368" t="s">
        <v>13</v>
      </c>
    </row>
    <row r="369" spans="2:3" hidden="1" x14ac:dyDescent="0.2">
      <c r="B369" s="2">
        <v>26644000000</v>
      </c>
      <c r="C369" t="s">
        <v>13</v>
      </c>
    </row>
    <row r="370" spans="2:3" hidden="1" x14ac:dyDescent="0.2">
      <c r="B370" s="2">
        <v>8984000000</v>
      </c>
      <c r="C370" t="s">
        <v>47</v>
      </c>
    </row>
    <row r="371" spans="2:3" hidden="1" x14ac:dyDescent="0.2">
      <c r="B371" s="2">
        <v>9370000000</v>
      </c>
      <c r="C371" t="s">
        <v>47</v>
      </c>
    </row>
    <row r="372" spans="2:3" hidden="1" x14ac:dyDescent="0.2">
      <c r="B372" s="2">
        <v>9611000000</v>
      </c>
      <c r="C372" t="s">
        <v>47</v>
      </c>
    </row>
    <row r="373" spans="2:3" hidden="1" x14ac:dyDescent="0.2">
      <c r="B373" s="2">
        <v>10002000000</v>
      </c>
      <c r="C373" t="s">
        <v>47</v>
      </c>
    </row>
    <row r="374" spans="2:3" hidden="1" x14ac:dyDescent="0.2">
      <c r="B374" s="2">
        <v>16022128000</v>
      </c>
      <c r="C374" t="s">
        <v>19</v>
      </c>
    </row>
    <row r="375" spans="2:3" hidden="1" x14ac:dyDescent="0.2">
      <c r="B375" s="2">
        <v>17504167000</v>
      </c>
      <c r="C375" t="s">
        <v>19</v>
      </c>
    </row>
    <row r="376" spans="2:3" hidden="1" x14ac:dyDescent="0.2">
      <c r="B376" s="2">
        <v>18909588000</v>
      </c>
      <c r="C376" t="s">
        <v>19</v>
      </c>
    </row>
    <row r="377" spans="2:3" hidden="1" x14ac:dyDescent="0.2">
      <c r="B377" s="2">
        <v>20368562000</v>
      </c>
      <c r="C377" t="s">
        <v>19</v>
      </c>
    </row>
    <row r="378" spans="2:3" hidden="1" x14ac:dyDescent="0.2">
      <c r="B378" s="2">
        <v>7383000000</v>
      </c>
      <c r="C378" t="s">
        <v>25</v>
      </c>
    </row>
    <row r="379" spans="2:3" hidden="1" x14ac:dyDescent="0.2">
      <c r="B379" s="2">
        <v>7146000000</v>
      </c>
      <c r="C379" t="s">
        <v>25</v>
      </c>
    </row>
    <row r="380" spans="2:3" hidden="1" x14ac:dyDescent="0.2">
      <c r="B380" s="2">
        <v>7435000000</v>
      </c>
      <c r="C380" t="s">
        <v>25</v>
      </c>
    </row>
    <row r="381" spans="2:3" hidden="1" x14ac:dyDescent="0.2">
      <c r="B381" s="2">
        <v>7493000000</v>
      </c>
      <c r="C381" t="s">
        <v>25</v>
      </c>
    </row>
    <row r="382" spans="2:3" hidden="1" x14ac:dyDescent="0.2">
      <c r="B382" s="2">
        <v>6259300000</v>
      </c>
      <c r="C382" t="s">
        <v>19</v>
      </c>
    </row>
    <row r="383" spans="2:3" hidden="1" x14ac:dyDescent="0.2">
      <c r="B383" s="2">
        <v>8024900000</v>
      </c>
      <c r="C383" t="s">
        <v>19</v>
      </c>
    </row>
    <row r="384" spans="2:3" hidden="1" x14ac:dyDescent="0.2">
      <c r="B384" s="2">
        <v>10824000000</v>
      </c>
      <c r="C384" t="s">
        <v>19</v>
      </c>
    </row>
    <row r="385" spans="2:3" hidden="1" x14ac:dyDescent="0.2">
      <c r="B385" s="2">
        <v>12157400000</v>
      </c>
      <c r="C385" t="s">
        <v>19</v>
      </c>
    </row>
    <row r="386" spans="2:3" hidden="1" x14ac:dyDescent="0.2">
      <c r="B386" s="2">
        <v>18260400000</v>
      </c>
      <c r="C386" t="s">
        <v>13</v>
      </c>
    </row>
    <row r="387" spans="2:3" hidden="1" x14ac:dyDescent="0.2">
      <c r="B387" s="2">
        <v>18283100000</v>
      </c>
      <c r="C387" t="s">
        <v>13</v>
      </c>
    </row>
    <row r="388" spans="2:3" hidden="1" x14ac:dyDescent="0.2">
      <c r="B388" s="2">
        <v>19154000000</v>
      </c>
      <c r="C388" t="s">
        <v>13</v>
      </c>
    </row>
    <row r="389" spans="2:3" hidden="1" x14ac:dyDescent="0.2">
      <c r="B389" s="2">
        <v>20563100000</v>
      </c>
      <c r="C389" t="s">
        <v>13</v>
      </c>
    </row>
    <row r="390" spans="2:3" hidden="1" x14ac:dyDescent="0.2">
      <c r="B390" s="2">
        <v>45041000000</v>
      </c>
      <c r="C390" t="s">
        <v>19</v>
      </c>
    </row>
    <row r="391" spans="2:3" hidden="1" x14ac:dyDescent="0.2">
      <c r="B391" s="2">
        <v>48813000000</v>
      </c>
      <c r="C391" t="s">
        <v>19</v>
      </c>
    </row>
    <row r="392" spans="2:3" hidden="1" x14ac:dyDescent="0.2">
      <c r="B392" s="2">
        <v>52465000000</v>
      </c>
      <c r="C392" t="s">
        <v>19</v>
      </c>
    </row>
    <row r="393" spans="2:3" hidden="1" x14ac:dyDescent="0.2">
      <c r="B393" s="2">
        <v>55632000000</v>
      </c>
      <c r="C393" t="s">
        <v>19</v>
      </c>
    </row>
    <row r="394" spans="2:3" hidden="1" x14ac:dyDescent="0.2">
      <c r="B394" s="2">
        <v>5535000000</v>
      </c>
      <c r="C394" t="s">
        <v>19</v>
      </c>
    </row>
    <row r="395" spans="2:3" hidden="1" x14ac:dyDescent="0.2">
      <c r="B395" s="2">
        <v>6265000000</v>
      </c>
      <c r="C395" t="s">
        <v>19</v>
      </c>
    </row>
    <row r="396" spans="2:3" hidden="1" x14ac:dyDescent="0.2">
      <c r="B396" s="2">
        <v>6394000000</v>
      </c>
      <c r="C396" t="s">
        <v>19</v>
      </c>
    </row>
    <row r="397" spans="2:3" hidden="1" x14ac:dyDescent="0.2">
      <c r="B397" s="2">
        <v>6497000000</v>
      </c>
      <c r="C397" t="s">
        <v>19</v>
      </c>
    </row>
    <row r="398" spans="2:3" hidden="1" x14ac:dyDescent="0.2">
      <c r="B398" s="2">
        <v>5535000000</v>
      </c>
      <c r="C398" t="s">
        <v>19</v>
      </c>
    </row>
    <row r="399" spans="2:3" hidden="1" x14ac:dyDescent="0.2">
      <c r="B399" s="2">
        <v>6265000000</v>
      </c>
      <c r="C399" t="s">
        <v>19</v>
      </c>
    </row>
    <row r="400" spans="2:3" hidden="1" x14ac:dyDescent="0.2">
      <c r="B400" s="2">
        <v>6394000000</v>
      </c>
      <c r="C400" t="s">
        <v>19</v>
      </c>
    </row>
    <row r="401" spans="2:3" hidden="1" x14ac:dyDescent="0.2">
      <c r="B401" s="2">
        <v>6497000000</v>
      </c>
      <c r="C401" t="s">
        <v>19</v>
      </c>
    </row>
    <row r="402" spans="2:3" hidden="1" x14ac:dyDescent="0.2">
      <c r="B402" s="2">
        <v>15051000000</v>
      </c>
      <c r="C402" t="s">
        <v>19</v>
      </c>
    </row>
    <row r="403" spans="2:3" hidden="1" x14ac:dyDescent="0.2">
      <c r="B403" s="2">
        <v>15499000000</v>
      </c>
      <c r="C403" t="s">
        <v>19</v>
      </c>
    </row>
    <row r="404" spans="2:3" hidden="1" x14ac:dyDescent="0.2">
      <c r="B404" s="2">
        <v>15165000000</v>
      </c>
      <c r="C404" t="s">
        <v>19</v>
      </c>
    </row>
    <row r="405" spans="2:3" hidden="1" x14ac:dyDescent="0.2">
      <c r="B405" s="2">
        <v>16661000000</v>
      </c>
      <c r="C405" t="s">
        <v>19</v>
      </c>
    </row>
    <row r="406" spans="2:3" hidden="1" x14ac:dyDescent="0.2">
      <c r="B406" s="2">
        <v>1279067000</v>
      </c>
      <c r="C406" t="s">
        <v>52</v>
      </c>
    </row>
    <row r="407" spans="2:3" hidden="1" x14ac:dyDescent="0.2">
      <c r="B407" s="2">
        <v>1482259000</v>
      </c>
      <c r="C407" t="s">
        <v>52</v>
      </c>
    </row>
    <row r="408" spans="2:3" hidden="1" x14ac:dyDescent="0.2">
      <c r="B408" s="2">
        <v>1616438000</v>
      </c>
      <c r="C408" t="s">
        <v>52</v>
      </c>
    </row>
    <row r="409" spans="2:3" hidden="1" x14ac:dyDescent="0.2">
      <c r="B409" s="2">
        <v>1763336000</v>
      </c>
      <c r="C409" t="s">
        <v>52</v>
      </c>
    </row>
    <row r="410" spans="2:3" hidden="1" x14ac:dyDescent="0.2">
      <c r="B410" s="2">
        <v>7394500000</v>
      </c>
      <c r="C410" t="s">
        <v>19</v>
      </c>
    </row>
    <row r="411" spans="2:3" hidden="1" x14ac:dyDescent="0.2">
      <c r="B411" s="2">
        <v>7840300000</v>
      </c>
      <c r="C411" t="s">
        <v>19</v>
      </c>
    </row>
    <row r="412" spans="2:3" hidden="1" x14ac:dyDescent="0.2">
      <c r="B412" s="2">
        <v>8602200000</v>
      </c>
      <c r="C412" t="s">
        <v>19</v>
      </c>
    </row>
    <row r="413" spans="2:3" hidden="1" x14ac:dyDescent="0.2">
      <c r="B413" s="2">
        <v>15498400000</v>
      </c>
      <c r="C413" t="s">
        <v>19</v>
      </c>
    </row>
    <row r="414" spans="2:3" hidden="1" x14ac:dyDescent="0.2">
      <c r="B414" s="2">
        <v>1663000000</v>
      </c>
      <c r="C414" t="s">
        <v>13</v>
      </c>
    </row>
    <row r="415" spans="2:3" hidden="1" x14ac:dyDescent="0.2">
      <c r="B415" s="2">
        <v>1558400000</v>
      </c>
      <c r="C415" t="s">
        <v>13</v>
      </c>
    </row>
    <row r="416" spans="2:3" hidden="1" x14ac:dyDescent="0.2">
      <c r="B416" s="2">
        <v>1584500000</v>
      </c>
      <c r="C416" t="s">
        <v>13</v>
      </c>
    </row>
    <row r="417" spans="2:3" hidden="1" x14ac:dyDescent="0.2">
      <c r="B417" s="2">
        <v>1637100000</v>
      </c>
      <c r="C417" t="s">
        <v>13</v>
      </c>
    </row>
    <row r="418" spans="2:3" hidden="1" x14ac:dyDescent="0.2">
      <c r="B418" s="2">
        <v>7155096000</v>
      </c>
      <c r="C418" t="s">
        <v>13</v>
      </c>
    </row>
    <row r="419" spans="2:3" hidden="1" x14ac:dyDescent="0.2">
      <c r="B419" s="2">
        <v>7752728000</v>
      </c>
      <c r="C419" t="s">
        <v>13</v>
      </c>
    </row>
    <row r="420" spans="2:3" hidden="1" x14ac:dyDescent="0.2">
      <c r="B420" s="2">
        <v>6956311000</v>
      </c>
      <c r="C420" t="s">
        <v>13</v>
      </c>
    </row>
    <row r="421" spans="2:3" hidden="1" x14ac:dyDescent="0.2">
      <c r="B421" s="2">
        <v>6794342000</v>
      </c>
      <c r="C421" t="s">
        <v>13</v>
      </c>
    </row>
    <row r="422" spans="2:3" hidden="1" x14ac:dyDescent="0.2">
      <c r="B422" s="2">
        <v>5997000000</v>
      </c>
      <c r="C422" t="s">
        <v>36</v>
      </c>
    </row>
    <row r="423" spans="2:3" hidden="1" x14ac:dyDescent="0.2">
      <c r="B423" s="2">
        <v>6121000000</v>
      </c>
      <c r="C423" t="s">
        <v>36</v>
      </c>
    </row>
    <row r="424" spans="2:3" hidden="1" x14ac:dyDescent="0.2">
      <c r="B424" s="2">
        <v>6282000000</v>
      </c>
      <c r="C424" t="s">
        <v>36</v>
      </c>
    </row>
    <row r="425" spans="2:3" hidden="1" x14ac:dyDescent="0.2">
      <c r="B425" s="2">
        <v>6440000000</v>
      </c>
      <c r="C425" t="s">
        <v>36</v>
      </c>
    </row>
    <row r="426" spans="2:3" hidden="1" x14ac:dyDescent="0.2">
      <c r="B426" s="2">
        <v>5921000000</v>
      </c>
      <c r="C426" t="s">
        <v>19</v>
      </c>
    </row>
    <row r="427" spans="2:3" hidden="1" x14ac:dyDescent="0.2">
      <c r="B427" s="2">
        <v>6285600000</v>
      </c>
      <c r="C427" t="s">
        <v>19</v>
      </c>
    </row>
    <row r="428" spans="2:3" hidden="1" x14ac:dyDescent="0.2">
      <c r="B428" s="2">
        <v>6764000000</v>
      </c>
      <c r="C428" t="s">
        <v>19</v>
      </c>
    </row>
    <row r="429" spans="2:3" hidden="1" x14ac:dyDescent="0.2">
      <c r="B429" s="2">
        <v>6933500000</v>
      </c>
      <c r="C429" t="s">
        <v>19</v>
      </c>
    </row>
    <row r="430" spans="2:3" hidden="1" x14ac:dyDescent="0.2">
      <c r="B430" s="2">
        <v>17912000000</v>
      </c>
      <c r="C430" t="s">
        <v>42</v>
      </c>
    </row>
    <row r="431" spans="2:3" hidden="1" x14ac:dyDescent="0.2">
      <c r="B431" s="2">
        <v>22756000000</v>
      </c>
      <c r="C431" t="s">
        <v>42</v>
      </c>
    </row>
    <row r="432" spans="2:3" hidden="1" x14ac:dyDescent="0.2">
      <c r="B432" s="2">
        <v>23925000000</v>
      </c>
      <c r="C432" t="s">
        <v>42</v>
      </c>
    </row>
    <row r="433" spans="2:3" hidden="1" x14ac:dyDescent="0.2">
      <c r="B433" s="2">
        <v>23459000000</v>
      </c>
      <c r="C433" t="s">
        <v>42</v>
      </c>
    </row>
    <row r="434" spans="2:3" hidden="1" x14ac:dyDescent="0.2">
      <c r="B434" s="2">
        <v>8186280000</v>
      </c>
      <c r="C434" t="s">
        <v>25</v>
      </c>
    </row>
    <row r="435" spans="2:3" hidden="1" x14ac:dyDescent="0.2">
      <c r="B435" s="2">
        <v>11764050000</v>
      </c>
      <c r="C435" t="s">
        <v>25</v>
      </c>
    </row>
    <row r="436" spans="2:3" hidden="1" x14ac:dyDescent="0.2">
      <c r="B436" s="2">
        <v>12795106000</v>
      </c>
      <c r="C436" t="s">
        <v>25</v>
      </c>
    </row>
    <row r="437" spans="2:3" hidden="1" x14ac:dyDescent="0.2">
      <c r="B437" s="2">
        <v>13781837000</v>
      </c>
      <c r="C437" t="s">
        <v>25</v>
      </c>
    </row>
    <row r="438" spans="2:3" x14ac:dyDescent="0.2">
      <c r="B438" s="11">
        <v>20100000000</v>
      </c>
      <c r="C438" s="10" t="s">
        <v>83</v>
      </c>
    </row>
    <row r="439" spans="2:3" x14ac:dyDescent="0.2">
      <c r="B439" s="11">
        <v>20170000000</v>
      </c>
      <c r="C439" s="10" t="s">
        <v>83</v>
      </c>
    </row>
    <row r="440" spans="2:3" x14ac:dyDescent="0.2">
      <c r="B440" s="11">
        <v>19312000000</v>
      </c>
      <c r="C440" s="10" t="s">
        <v>83</v>
      </c>
    </row>
    <row r="441" spans="2:3" x14ac:dyDescent="0.2">
      <c r="B441" s="11">
        <v>12480000000</v>
      </c>
      <c r="C441" s="10" t="s">
        <v>83</v>
      </c>
    </row>
    <row r="442" spans="2:3" x14ac:dyDescent="0.2">
      <c r="B442" s="11">
        <v>179290000000</v>
      </c>
      <c r="C442" s="10" t="s">
        <v>83</v>
      </c>
    </row>
    <row r="443" spans="2:3" x14ac:dyDescent="0.2">
      <c r="B443" s="11">
        <v>171596000000</v>
      </c>
      <c r="C443" s="10" t="s">
        <v>83</v>
      </c>
    </row>
    <row r="444" spans="2:3" x14ac:dyDescent="0.2">
      <c r="B444" s="11">
        <v>161212000000</v>
      </c>
      <c r="C444" s="10" t="s">
        <v>83</v>
      </c>
    </row>
    <row r="445" spans="2:3" x14ac:dyDescent="0.2">
      <c r="B445" s="11">
        <v>98975000000</v>
      </c>
      <c r="C445" s="10" t="s">
        <v>83</v>
      </c>
    </row>
    <row r="446" spans="2:3" x14ac:dyDescent="0.2">
      <c r="B446" s="11">
        <v>1367135000</v>
      </c>
      <c r="C446" s="10" t="s">
        <v>83</v>
      </c>
    </row>
    <row r="447" spans="2:3" x14ac:dyDescent="0.2">
      <c r="B447" s="11">
        <v>1832253000</v>
      </c>
      <c r="C447" s="10" t="s">
        <v>83</v>
      </c>
    </row>
    <row r="448" spans="2:3" x14ac:dyDescent="0.2">
      <c r="B448" s="11">
        <v>2042537000</v>
      </c>
      <c r="C448" s="10" t="s">
        <v>83</v>
      </c>
    </row>
    <row r="449" spans="2:3" x14ac:dyDescent="0.2">
      <c r="B449" s="11">
        <v>1181704000</v>
      </c>
      <c r="C449" s="10" t="s">
        <v>83</v>
      </c>
    </row>
    <row r="450" spans="2:3" hidden="1" x14ac:dyDescent="0.2">
      <c r="B450" s="2">
        <v>11838700000</v>
      </c>
      <c r="C450" t="s">
        <v>59</v>
      </c>
    </row>
    <row r="451" spans="2:3" hidden="1" x14ac:dyDescent="0.2">
      <c r="B451" s="2">
        <v>13253400000</v>
      </c>
      <c r="C451" t="s">
        <v>59</v>
      </c>
    </row>
    <row r="452" spans="2:3" hidden="1" x14ac:dyDescent="0.2">
      <c r="B452" s="2">
        <v>14280500000</v>
      </c>
      <c r="C452" t="s">
        <v>59</v>
      </c>
    </row>
    <row r="453" spans="2:3" hidden="1" x14ac:dyDescent="0.2">
      <c r="B453" s="2">
        <v>13545100000</v>
      </c>
      <c r="C453" t="s">
        <v>59</v>
      </c>
    </row>
    <row r="454" spans="2:3" hidden="1" x14ac:dyDescent="0.2">
      <c r="B454" s="2">
        <v>12354000000</v>
      </c>
      <c r="C454" t="s">
        <v>42</v>
      </c>
    </row>
    <row r="455" spans="2:3" hidden="1" x14ac:dyDescent="0.2">
      <c r="B455" s="2">
        <v>12919000000</v>
      </c>
      <c r="C455" t="s">
        <v>42</v>
      </c>
    </row>
    <row r="456" spans="2:3" hidden="1" x14ac:dyDescent="0.2">
      <c r="B456" s="2">
        <v>12554000000</v>
      </c>
      <c r="C456" t="s">
        <v>42</v>
      </c>
    </row>
    <row r="457" spans="2:3" hidden="1" x14ac:dyDescent="0.2">
      <c r="B457" s="2">
        <v>12075000000</v>
      </c>
      <c r="C457" t="s">
        <v>42</v>
      </c>
    </row>
    <row r="458" spans="2:3" hidden="1" x14ac:dyDescent="0.2">
      <c r="B458" s="2">
        <v>2073000000</v>
      </c>
      <c r="C458" t="s">
        <v>13</v>
      </c>
    </row>
    <row r="459" spans="2:3" hidden="1" x14ac:dyDescent="0.2">
      <c r="B459" s="2">
        <v>2303900000</v>
      </c>
      <c r="C459" t="s">
        <v>13</v>
      </c>
    </row>
    <row r="460" spans="2:3" hidden="1" x14ac:dyDescent="0.2">
      <c r="B460" s="2">
        <v>2436400000</v>
      </c>
      <c r="C460" t="s">
        <v>13</v>
      </c>
    </row>
    <row r="461" spans="2:3" hidden="1" x14ac:dyDescent="0.2">
      <c r="B461" s="2">
        <v>2663600000</v>
      </c>
      <c r="C461" t="s">
        <v>13</v>
      </c>
    </row>
    <row r="462" spans="2:3" hidden="1" x14ac:dyDescent="0.2">
      <c r="B462" s="2">
        <v>11862000000</v>
      </c>
      <c r="C462" t="s">
        <v>42</v>
      </c>
    </row>
    <row r="463" spans="2:3" hidden="1" x14ac:dyDescent="0.2">
      <c r="B463" s="2">
        <v>12581000000</v>
      </c>
      <c r="C463" t="s">
        <v>42</v>
      </c>
    </row>
    <row r="464" spans="2:3" hidden="1" x14ac:dyDescent="0.2">
      <c r="B464" s="2">
        <v>13413000000</v>
      </c>
      <c r="C464" t="s">
        <v>42</v>
      </c>
    </row>
    <row r="465" spans="2:3" hidden="1" x14ac:dyDescent="0.2">
      <c r="B465" s="2">
        <v>11524000000</v>
      </c>
      <c r="C465" t="s">
        <v>42</v>
      </c>
    </row>
    <row r="466" spans="2:3" hidden="1" x14ac:dyDescent="0.2">
      <c r="B466" s="2">
        <v>10181700000</v>
      </c>
      <c r="C466" t="s">
        <v>36</v>
      </c>
    </row>
    <row r="467" spans="2:3" hidden="1" x14ac:dyDescent="0.2">
      <c r="B467" s="2">
        <v>10968800000</v>
      </c>
      <c r="C467" t="s">
        <v>36</v>
      </c>
    </row>
    <row r="468" spans="2:3" hidden="1" x14ac:dyDescent="0.2">
      <c r="B468" s="2">
        <v>10780400000</v>
      </c>
      <c r="C468" t="s">
        <v>36</v>
      </c>
    </row>
    <row r="469" spans="2:3" hidden="1" x14ac:dyDescent="0.2">
      <c r="B469" s="2">
        <v>11262300000</v>
      </c>
      <c r="C469" t="s">
        <v>36</v>
      </c>
    </row>
    <row r="470" spans="2:3" hidden="1" x14ac:dyDescent="0.2">
      <c r="B470" s="2">
        <v>8102000000</v>
      </c>
      <c r="C470" t="s">
        <v>59</v>
      </c>
    </row>
    <row r="471" spans="2:3" hidden="1" x14ac:dyDescent="0.2">
      <c r="B471" s="2">
        <v>9350000000</v>
      </c>
      <c r="C471" t="s">
        <v>59</v>
      </c>
    </row>
    <row r="472" spans="2:3" hidden="1" x14ac:dyDescent="0.2">
      <c r="B472" s="2">
        <v>9527000000</v>
      </c>
      <c r="C472" t="s">
        <v>59</v>
      </c>
    </row>
    <row r="473" spans="2:3" hidden="1" x14ac:dyDescent="0.2">
      <c r="B473" s="2">
        <v>9648000000</v>
      </c>
      <c r="C473" t="s">
        <v>59</v>
      </c>
    </row>
    <row r="474" spans="2:3" hidden="1" x14ac:dyDescent="0.2">
      <c r="B474" s="2">
        <v>24669000000</v>
      </c>
      <c r="C474" t="s">
        <v>13</v>
      </c>
    </row>
    <row r="475" spans="2:3" hidden="1" x14ac:dyDescent="0.2">
      <c r="B475" s="2">
        <v>17733000000</v>
      </c>
      <c r="C475" t="s">
        <v>13</v>
      </c>
    </row>
    <row r="476" spans="2:3" hidden="1" x14ac:dyDescent="0.2">
      <c r="B476" s="2">
        <v>16249000000</v>
      </c>
      <c r="C476" t="s">
        <v>13</v>
      </c>
    </row>
    <row r="477" spans="2:3" hidden="1" x14ac:dyDescent="0.2">
      <c r="B477" s="2">
        <v>14522000000</v>
      </c>
      <c r="C477" t="s">
        <v>13</v>
      </c>
    </row>
    <row r="478" spans="2:3" x14ac:dyDescent="0.2">
      <c r="B478" s="11">
        <v>5075000000</v>
      </c>
      <c r="C478" s="10" t="s">
        <v>83</v>
      </c>
    </row>
    <row r="479" spans="2:3" x14ac:dyDescent="0.2">
      <c r="B479" s="11">
        <v>5518000000</v>
      </c>
      <c r="C479" s="10" t="s">
        <v>83</v>
      </c>
    </row>
    <row r="480" spans="2:3" x14ac:dyDescent="0.2">
      <c r="B480" s="11">
        <v>5903000000</v>
      </c>
      <c r="C480" s="10" t="s">
        <v>83</v>
      </c>
    </row>
    <row r="481" spans="2:3" x14ac:dyDescent="0.2">
      <c r="B481" s="11">
        <v>5234000000</v>
      </c>
      <c r="C481" s="10" t="s">
        <v>83</v>
      </c>
    </row>
    <row r="482" spans="2:3" hidden="1" x14ac:dyDescent="0.2">
      <c r="B482" s="2">
        <v>1887376000</v>
      </c>
      <c r="C482" t="s">
        <v>52</v>
      </c>
    </row>
    <row r="483" spans="2:3" hidden="1" x14ac:dyDescent="0.2">
      <c r="B483" s="2">
        <v>2152766000</v>
      </c>
      <c r="C483" t="s">
        <v>52</v>
      </c>
    </row>
    <row r="484" spans="2:3" hidden="1" x14ac:dyDescent="0.2">
      <c r="B484" s="2">
        <v>2443776000</v>
      </c>
      <c r="C484" t="s">
        <v>52</v>
      </c>
    </row>
    <row r="485" spans="2:3" hidden="1" x14ac:dyDescent="0.2">
      <c r="B485" s="2">
        <v>2725867000</v>
      </c>
      <c r="C485" t="s">
        <v>52</v>
      </c>
    </row>
    <row r="486" spans="2:3" hidden="1" x14ac:dyDescent="0.2">
      <c r="B486" s="2">
        <v>1747502000</v>
      </c>
      <c r="C486" t="s">
        <v>52</v>
      </c>
    </row>
    <row r="487" spans="2:3" hidden="1" x14ac:dyDescent="0.2">
      <c r="B487" s="2">
        <v>2387702000</v>
      </c>
      <c r="C487" t="s">
        <v>52</v>
      </c>
    </row>
    <row r="488" spans="2:3" hidden="1" x14ac:dyDescent="0.2">
      <c r="B488" s="2">
        <v>2614748000</v>
      </c>
      <c r="C488" t="s">
        <v>52</v>
      </c>
    </row>
    <row r="489" spans="2:3" hidden="1" x14ac:dyDescent="0.2">
      <c r="B489" s="2">
        <v>2744965000</v>
      </c>
      <c r="C489" t="s">
        <v>52</v>
      </c>
    </row>
    <row r="490" spans="2:3" x14ac:dyDescent="0.2">
      <c r="B490" s="11">
        <v>2730000000</v>
      </c>
      <c r="C490" s="10" t="s">
        <v>83</v>
      </c>
    </row>
    <row r="491" spans="2:3" x14ac:dyDescent="0.2">
      <c r="B491" s="11">
        <v>3371000000</v>
      </c>
      <c r="C491" s="10" t="s">
        <v>83</v>
      </c>
    </row>
    <row r="492" spans="2:3" x14ac:dyDescent="0.2">
      <c r="B492" s="11">
        <v>4038000000</v>
      </c>
      <c r="C492" s="10" t="s">
        <v>83</v>
      </c>
    </row>
    <row r="493" spans="2:3" x14ac:dyDescent="0.2">
      <c r="B493" s="11">
        <v>3133000000</v>
      </c>
      <c r="C493" s="10" t="s">
        <v>83</v>
      </c>
    </row>
    <row r="494" spans="2:3" hidden="1" x14ac:dyDescent="0.2">
      <c r="B494" s="2">
        <v>6273787000</v>
      </c>
      <c r="C494" t="s">
        <v>42</v>
      </c>
    </row>
    <row r="495" spans="2:3" hidden="1" x14ac:dyDescent="0.2">
      <c r="B495" s="2">
        <v>7301204000</v>
      </c>
      <c r="C495" t="s">
        <v>42</v>
      </c>
    </row>
    <row r="496" spans="2:3" hidden="1" x14ac:dyDescent="0.2">
      <c r="B496" s="2">
        <v>7741856000</v>
      </c>
      <c r="C496" t="s">
        <v>42</v>
      </c>
    </row>
    <row r="497" spans="2:3" hidden="1" x14ac:dyDescent="0.2">
      <c r="B497" s="2">
        <v>7954827000</v>
      </c>
      <c r="C497" t="s">
        <v>42</v>
      </c>
    </row>
    <row r="498" spans="2:3" hidden="1" x14ac:dyDescent="0.2">
      <c r="B498" s="2">
        <v>535153000</v>
      </c>
      <c r="C498" t="s">
        <v>52</v>
      </c>
    </row>
    <row r="499" spans="2:3" hidden="1" x14ac:dyDescent="0.2">
      <c r="B499" s="2">
        <v>610590000</v>
      </c>
      <c r="C499" t="s">
        <v>52</v>
      </c>
    </row>
    <row r="500" spans="2:3" hidden="1" x14ac:dyDescent="0.2">
      <c r="B500" s="2">
        <v>970938000</v>
      </c>
      <c r="C500" t="s">
        <v>52</v>
      </c>
    </row>
    <row r="501" spans="2:3" hidden="1" x14ac:dyDescent="0.2">
      <c r="B501" s="2">
        <v>1194407000</v>
      </c>
      <c r="C501" t="s">
        <v>52</v>
      </c>
    </row>
    <row r="502" spans="2:3" hidden="1" x14ac:dyDescent="0.2">
      <c r="B502" s="2">
        <v>1365000000</v>
      </c>
      <c r="C502" t="s">
        <v>47</v>
      </c>
    </row>
    <row r="503" spans="2:3" hidden="1" x14ac:dyDescent="0.2">
      <c r="B503" s="2">
        <v>1466000000</v>
      </c>
      <c r="C503" t="s">
        <v>47</v>
      </c>
    </row>
    <row r="504" spans="2:3" hidden="1" x14ac:dyDescent="0.2">
      <c r="B504" s="2">
        <v>1665000000</v>
      </c>
      <c r="C504" t="s">
        <v>47</v>
      </c>
    </row>
    <row r="505" spans="2:3" hidden="1" x14ac:dyDescent="0.2">
      <c r="B505" s="2">
        <v>1403000000</v>
      </c>
      <c r="C505" t="s">
        <v>47</v>
      </c>
    </row>
    <row r="506" spans="2:3" hidden="1" x14ac:dyDescent="0.2">
      <c r="B506" s="2">
        <v>16311000000</v>
      </c>
      <c r="C506" t="s">
        <v>13</v>
      </c>
    </row>
    <row r="507" spans="2:3" hidden="1" x14ac:dyDescent="0.2">
      <c r="B507" s="2">
        <v>22046000000</v>
      </c>
      <c r="C507" t="s">
        <v>13</v>
      </c>
    </row>
    <row r="508" spans="2:3" hidden="1" x14ac:dyDescent="0.2">
      <c r="B508" s="2">
        <v>22552000000</v>
      </c>
      <c r="C508" t="s">
        <v>13</v>
      </c>
    </row>
    <row r="509" spans="2:3" hidden="1" x14ac:dyDescent="0.2">
      <c r="B509" s="2">
        <v>20855000000</v>
      </c>
      <c r="C509" t="s">
        <v>13</v>
      </c>
    </row>
    <row r="510" spans="2:3" hidden="1" x14ac:dyDescent="0.2">
      <c r="B510" s="2">
        <v>10302079000</v>
      </c>
      <c r="C510" t="s">
        <v>42</v>
      </c>
    </row>
    <row r="511" spans="2:3" hidden="1" x14ac:dyDescent="0.2">
      <c r="B511" s="2">
        <v>11390947000</v>
      </c>
      <c r="C511" t="s">
        <v>42</v>
      </c>
    </row>
    <row r="512" spans="2:3" hidden="1" x14ac:dyDescent="0.2">
      <c r="B512" s="2">
        <v>12494921000</v>
      </c>
      <c r="C512" t="s">
        <v>42</v>
      </c>
    </row>
    <row r="513" spans="2:3" hidden="1" x14ac:dyDescent="0.2">
      <c r="B513" s="2">
        <v>11513251000</v>
      </c>
      <c r="C513" t="s">
        <v>42</v>
      </c>
    </row>
    <row r="514" spans="2:3" hidden="1" x14ac:dyDescent="0.2">
      <c r="B514" s="2">
        <v>1899600000</v>
      </c>
      <c r="C514" t="s">
        <v>25</v>
      </c>
    </row>
    <row r="515" spans="2:3" hidden="1" x14ac:dyDescent="0.2">
      <c r="B515" s="2">
        <v>2045500000</v>
      </c>
      <c r="C515" t="s">
        <v>25</v>
      </c>
    </row>
    <row r="516" spans="2:3" hidden="1" x14ac:dyDescent="0.2">
      <c r="B516" s="2">
        <v>2322900000</v>
      </c>
      <c r="C516" t="s">
        <v>25</v>
      </c>
    </row>
    <row r="517" spans="2:3" hidden="1" x14ac:dyDescent="0.2">
      <c r="B517" s="2">
        <v>2493700000</v>
      </c>
      <c r="C517" t="s">
        <v>25</v>
      </c>
    </row>
    <row r="518" spans="2:3" hidden="1" x14ac:dyDescent="0.2">
      <c r="B518" s="2">
        <v>24888000000</v>
      </c>
      <c r="C518" t="s">
        <v>42</v>
      </c>
    </row>
    <row r="519" spans="2:3" hidden="1" x14ac:dyDescent="0.2">
      <c r="B519" s="2">
        <v>27429000000</v>
      </c>
      <c r="C519" t="s">
        <v>42</v>
      </c>
    </row>
    <row r="520" spans="2:3" hidden="1" x14ac:dyDescent="0.2">
      <c r="B520" s="2">
        <v>29447000000</v>
      </c>
      <c r="C520" t="s">
        <v>42</v>
      </c>
    </row>
    <row r="521" spans="2:3" hidden="1" x14ac:dyDescent="0.2">
      <c r="B521" s="2">
        <v>31360000000</v>
      </c>
      <c r="C521" t="s">
        <v>42</v>
      </c>
    </row>
    <row r="522" spans="2:3" hidden="1" x14ac:dyDescent="0.2">
      <c r="B522" s="2">
        <v>5992215000</v>
      </c>
      <c r="C522" t="s">
        <v>13</v>
      </c>
    </row>
    <row r="523" spans="2:3" hidden="1" x14ac:dyDescent="0.2">
      <c r="B523" s="2">
        <v>6080257000</v>
      </c>
      <c r="C523" t="s">
        <v>13</v>
      </c>
    </row>
    <row r="524" spans="2:3" hidden="1" x14ac:dyDescent="0.2">
      <c r="B524" s="2">
        <v>6564721000</v>
      </c>
      <c r="C524" t="s">
        <v>13</v>
      </c>
    </row>
    <row r="525" spans="2:3" hidden="1" x14ac:dyDescent="0.2">
      <c r="B525" s="2">
        <v>6616632000</v>
      </c>
      <c r="C525" t="s">
        <v>13</v>
      </c>
    </row>
    <row r="526" spans="2:3" hidden="1" x14ac:dyDescent="0.2">
      <c r="B526" s="2">
        <v>4771259000</v>
      </c>
      <c r="C526" t="s">
        <v>19</v>
      </c>
    </row>
    <row r="527" spans="2:3" hidden="1" x14ac:dyDescent="0.2">
      <c r="B527" s="2">
        <v>5763485000</v>
      </c>
      <c r="C527" t="s">
        <v>19</v>
      </c>
    </row>
    <row r="528" spans="2:3" hidden="1" x14ac:dyDescent="0.2">
      <c r="B528" s="2">
        <v>6672317000</v>
      </c>
      <c r="C528" t="s">
        <v>19</v>
      </c>
    </row>
    <row r="529" spans="2:3" hidden="1" x14ac:dyDescent="0.2">
      <c r="B529" s="2">
        <v>8773564000</v>
      </c>
      <c r="C529" t="s">
        <v>19</v>
      </c>
    </row>
    <row r="530" spans="2:3" hidden="1" x14ac:dyDescent="0.2">
      <c r="B530" s="2">
        <v>409396000</v>
      </c>
      <c r="C530" t="s">
        <v>52</v>
      </c>
    </row>
    <row r="531" spans="2:3" hidden="1" x14ac:dyDescent="0.2">
      <c r="B531" s="2">
        <v>520613000</v>
      </c>
      <c r="C531" t="s">
        <v>52</v>
      </c>
    </row>
    <row r="532" spans="2:3" hidden="1" x14ac:dyDescent="0.2">
      <c r="B532" s="2">
        <v>647155000</v>
      </c>
      <c r="C532" t="s">
        <v>52</v>
      </c>
    </row>
    <row r="533" spans="2:3" hidden="1" x14ac:dyDescent="0.2">
      <c r="B533" s="2">
        <v>782270000</v>
      </c>
      <c r="C533" t="s">
        <v>52</v>
      </c>
    </row>
    <row r="534" spans="2:3" hidden="1" x14ac:dyDescent="0.2">
      <c r="B534" s="2">
        <v>146917000000</v>
      </c>
      <c r="C534" t="s">
        <v>19</v>
      </c>
    </row>
    <row r="535" spans="2:3" hidden="1" x14ac:dyDescent="0.2">
      <c r="B535" s="2">
        <v>144077000000</v>
      </c>
      <c r="C535" t="s">
        <v>19</v>
      </c>
    </row>
    <row r="536" spans="2:3" hidden="1" x14ac:dyDescent="0.2">
      <c r="B536" s="2">
        <v>149558000000</v>
      </c>
      <c r="C536" t="s">
        <v>19</v>
      </c>
    </row>
    <row r="537" spans="2:3" hidden="1" x14ac:dyDescent="0.2">
      <c r="B537" s="2">
        <v>151800000000</v>
      </c>
      <c r="C537" t="s">
        <v>19</v>
      </c>
    </row>
    <row r="538" spans="2:3" hidden="1" x14ac:dyDescent="0.2">
      <c r="B538" s="2">
        <v>3326106000</v>
      </c>
      <c r="C538" t="s">
        <v>13</v>
      </c>
    </row>
    <row r="539" spans="2:3" hidden="1" x14ac:dyDescent="0.2">
      <c r="B539" s="2">
        <v>3733507000</v>
      </c>
      <c r="C539" t="s">
        <v>13</v>
      </c>
    </row>
    <row r="540" spans="2:3" hidden="1" x14ac:dyDescent="0.2">
      <c r="B540" s="2">
        <v>3869187000</v>
      </c>
      <c r="C540" t="s">
        <v>13</v>
      </c>
    </row>
    <row r="541" spans="2:3" hidden="1" x14ac:dyDescent="0.2">
      <c r="B541" s="2">
        <v>3962036000</v>
      </c>
      <c r="C541" t="s">
        <v>13</v>
      </c>
    </row>
    <row r="542" spans="2:3" x14ac:dyDescent="0.2">
      <c r="B542" s="11">
        <v>29809000000</v>
      </c>
      <c r="C542" s="10" t="s">
        <v>83</v>
      </c>
    </row>
    <row r="543" spans="2:3" x14ac:dyDescent="0.2">
      <c r="B543" s="11">
        <v>37601000000</v>
      </c>
      <c r="C543" s="10" t="s">
        <v>83</v>
      </c>
    </row>
    <row r="544" spans="2:3" x14ac:dyDescent="0.2">
      <c r="B544" s="11">
        <v>40633000000</v>
      </c>
      <c r="C544" s="10" t="s">
        <v>83</v>
      </c>
    </row>
    <row r="545" spans="2:3" x14ac:dyDescent="0.2">
      <c r="B545" s="11">
        <v>28711000000</v>
      </c>
      <c r="C545" s="10" t="s">
        <v>83</v>
      </c>
    </row>
    <row r="546" spans="2:3" hidden="1" x14ac:dyDescent="0.2">
      <c r="B546" s="2">
        <v>3134800000</v>
      </c>
      <c r="C546" t="s">
        <v>13</v>
      </c>
    </row>
    <row r="547" spans="2:3" hidden="1" x14ac:dyDescent="0.2">
      <c r="B547" s="2">
        <v>3703600000</v>
      </c>
      <c r="C547" t="s">
        <v>13</v>
      </c>
    </row>
    <row r="548" spans="2:3" hidden="1" x14ac:dyDescent="0.2">
      <c r="B548" s="2">
        <v>4013600000</v>
      </c>
      <c r="C548" t="s">
        <v>13</v>
      </c>
    </row>
    <row r="549" spans="2:3" hidden="1" x14ac:dyDescent="0.2">
      <c r="B549" s="2">
        <v>4579400000</v>
      </c>
      <c r="C549" t="s">
        <v>13</v>
      </c>
    </row>
    <row r="550" spans="2:3" hidden="1" x14ac:dyDescent="0.2">
      <c r="B550" s="2">
        <v>18010000000</v>
      </c>
      <c r="C550" t="s">
        <v>59</v>
      </c>
    </row>
    <row r="551" spans="2:3" hidden="1" x14ac:dyDescent="0.2">
      <c r="B551" s="2">
        <v>20921000000</v>
      </c>
      <c r="C551" t="s">
        <v>59</v>
      </c>
    </row>
    <row r="552" spans="2:3" hidden="1" x14ac:dyDescent="0.2">
      <c r="B552" s="2">
        <v>21438000000</v>
      </c>
      <c r="C552" t="s">
        <v>59</v>
      </c>
    </row>
    <row r="553" spans="2:3" hidden="1" x14ac:dyDescent="0.2">
      <c r="B553" s="2">
        <v>15877000000</v>
      </c>
      <c r="C553" t="s">
        <v>59</v>
      </c>
    </row>
    <row r="554" spans="2:3" hidden="1" x14ac:dyDescent="0.2">
      <c r="B554" s="2">
        <v>44287000000</v>
      </c>
      <c r="C554" t="s">
        <v>13</v>
      </c>
    </row>
    <row r="555" spans="2:3" hidden="1" x14ac:dyDescent="0.2">
      <c r="B555" s="2">
        <v>45567000000</v>
      </c>
      <c r="C555" t="s">
        <v>13</v>
      </c>
    </row>
    <row r="556" spans="2:3" hidden="1" x14ac:dyDescent="0.2">
      <c r="B556" s="2">
        <v>47453000000</v>
      </c>
      <c r="C556" t="s">
        <v>13</v>
      </c>
    </row>
    <row r="557" spans="2:3" hidden="1" x14ac:dyDescent="0.2">
      <c r="B557" s="2">
        <v>50365000000</v>
      </c>
      <c r="C557" t="s">
        <v>13</v>
      </c>
    </row>
    <row r="558" spans="2:3" hidden="1" x14ac:dyDescent="0.2">
      <c r="B558" s="2">
        <v>15255000000</v>
      </c>
      <c r="C558" t="s">
        <v>42</v>
      </c>
    </row>
    <row r="559" spans="2:3" hidden="1" x14ac:dyDescent="0.2">
      <c r="B559" s="2">
        <v>14892000000</v>
      </c>
      <c r="C559" t="s">
        <v>42</v>
      </c>
    </row>
    <row r="560" spans="2:3" hidden="1" x14ac:dyDescent="0.2">
      <c r="B560" s="2">
        <v>15049000000</v>
      </c>
      <c r="C560" t="s">
        <v>42</v>
      </c>
    </row>
    <row r="561" spans="2:3" hidden="1" x14ac:dyDescent="0.2">
      <c r="B561" s="2">
        <v>15026000000</v>
      </c>
      <c r="C561" t="s">
        <v>42</v>
      </c>
    </row>
    <row r="562" spans="2:3" x14ac:dyDescent="0.2">
      <c r="B562" s="11">
        <v>138393000000</v>
      </c>
      <c r="C562" s="10" t="s">
        <v>83</v>
      </c>
    </row>
    <row r="563" spans="2:3" x14ac:dyDescent="0.2">
      <c r="B563" s="11">
        <v>138074000000</v>
      </c>
      <c r="C563" s="10" t="s">
        <v>83</v>
      </c>
    </row>
    <row r="564" spans="2:3" x14ac:dyDescent="0.2">
      <c r="B564" s="11">
        <v>130844000000</v>
      </c>
      <c r="C564" s="10" t="s">
        <v>83</v>
      </c>
    </row>
    <row r="565" spans="2:3" x14ac:dyDescent="0.2">
      <c r="B565" s="11">
        <v>87804000000</v>
      </c>
      <c r="C565" s="10" t="s">
        <v>83</v>
      </c>
    </row>
    <row r="566" spans="2:3" x14ac:dyDescent="0.2">
      <c r="B566" s="11">
        <v>7486000000</v>
      </c>
      <c r="C566" s="10" t="s">
        <v>83</v>
      </c>
    </row>
    <row r="567" spans="2:3" x14ac:dyDescent="0.2">
      <c r="B567" s="11">
        <v>6860000000</v>
      </c>
      <c r="C567" s="10" t="s">
        <v>83</v>
      </c>
    </row>
    <row r="568" spans="2:3" x14ac:dyDescent="0.2">
      <c r="B568" s="11">
        <v>7637000000</v>
      </c>
      <c r="C568" s="10" t="s">
        <v>83</v>
      </c>
    </row>
    <row r="569" spans="2:3" x14ac:dyDescent="0.2">
      <c r="B569" s="11">
        <v>7360000000</v>
      </c>
      <c r="C569" s="10" t="s">
        <v>83</v>
      </c>
    </row>
    <row r="570" spans="2:3" x14ac:dyDescent="0.2">
      <c r="B570" s="11">
        <v>1623938000</v>
      </c>
      <c r="C570" s="10" t="s">
        <v>83</v>
      </c>
    </row>
    <row r="571" spans="2:3" x14ac:dyDescent="0.2">
      <c r="B571" s="11">
        <v>1998051000</v>
      </c>
      <c r="C571" s="10" t="s">
        <v>83</v>
      </c>
    </row>
    <row r="572" spans="2:3" x14ac:dyDescent="0.2">
      <c r="B572" s="11">
        <v>2424176000</v>
      </c>
      <c r="C572" s="10" t="s">
        <v>83</v>
      </c>
    </row>
    <row r="573" spans="2:3" x14ac:dyDescent="0.2">
      <c r="B573" s="11">
        <v>1452619000</v>
      </c>
      <c r="C573" s="10" t="s">
        <v>83</v>
      </c>
    </row>
    <row r="574" spans="2:3" hidden="1" x14ac:dyDescent="0.2">
      <c r="B574" s="2">
        <v>6182000000</v>
      </c>
      <c r="C574" t="s">
        <v>19</v>
      </c>
    </row>
    <row r="575" spans="2:3" hidden="1" x14ac:dyDescent="0.2">
      <c r="B575" s="2">
        <v>6505000000</v>
      </c>
      <c r="C575" t="s">
        <v>19</v>
      </c>
    </row>
    <row r="576" spans="2:3" hidden="1" x14ac:dyDescent="0.2">
      <c r="B576" s="2">
        <v>7151000000</v>
      </c>
      <c r="C576" t="s">
        <v>19</v>
      </c>
    </row>
    <row r="577" spans="2:3" hidden="1" x14ac:dyDescent="0.2">
      <c r="B577" s="2">
        <v>7412000000</v>
      </c>
      <c r="C577" t="s">
        <v>19</v>
      </c>
    </row>
    <row r="578" spans="2:3" x14ac:dyDescent="0.2">
      <c r="B578" s="11">
        <v>451509000000</v>
      </c>
      <c r="C578" s="10" t="s">
        <v>83</v>
      </c>
    </row>
    <row r="579" spans="2:3" x14ac:dyDescent="0.2">
      <c r="B579" s="11">
        <v>420836000000</v>
      </c>
      <c r="C579" s="10" t="s">
        <v>83</v>
      </c>
    </row>
    <row r="580" spans="2:3" x14ac:dyDescent="0.2">
      <c r="B580" s="11">
        <v>394105000000</v>
      </c>
      <c r="C580" s="10" t="s">
        <v>83</v>
      </c>
    </row>
    <row r="581" spans="2:3" x14ac:dyDescent="0.2">
      <c r="B581" s="11">
        <v>259488000000</v>
      </c>
      <c r="C581" s="10" t="s">
        <v>83</v>
      </c>
    </row>
    <row r="582" spans="2:3" hidden="1" x14ac:dyDescent="0.2">
      <c r="B582" s="2">
        <v>27351573000</v>
      </c>
      <c r="C582" t="s">
        <v>13</v>
      </c>
    </row>
    <row r="583" spans="2:3" hidden="1" x14ac:dyDescent="0.2">
      <c r="B583" s="2">
        <v>21531577000</v>
      </c>
      <c r="C583" t="s">
        <v>13</v>
      </c>
    </row>
    <row r="584" spans="2:3" hidden="1" x14ac:dyDescent="0.2">
      <c r="B584" s="2">
        <v>18114048000</v>
      </c>
      <c r="C584" t="s">
        <v>13</v>
      </c>
    </row>
    <row r="585" spans="2:3" hidden="1" x14ac:dyDescent="0.2">
      <c r="B585" s="2">
        <v>19036525000</v>
      </c>
      <c r="C585" t="s">
        <v>13</v>
      </c>
    </row>
    <row r="586" spans="2:3" hidden="1" x14ac:dyDescent="0.2">
      <c r="B586" s="2">
        <v>4954619000</v>
      </c>
      <c r="C586" t="s">
        <v>13</v>
      </c>
    </row>
    <row r="587" spans="2:3" hidden="1" x14ac:dyDescent="0.2">
      <c r="B587" s="2">
        <v>4877885000</v>
      </c>
      <c r="C587" t="s">
        <v>13</v>
      </c>
    </row>
    <row r="588" spans="2:3" hidden="1" x14ac:dyDescent="0.2">
      <c r="B588" s="2">
        <v>4561030000</v>
      </c>
      <c r="C588" t="s">
        <v>13</v>
      </c>
    </row>
    <row r="589" spans="2:3" hidden="1" x14ac:dyDescent="0.2">
      <c r="B589" s="2">
        <v>3991462000</v>
      </c>
      <c r="C589" t="s">
        <v>13</v>
      </c>
    </row>
    <row r="590" spans="2:3" hidden="1" x14ac:dyDescent="0.2">
      <c r="B590" s="2">
        <v>3409900000</v>
      </c>
      <c r="C590" t="s">
        <v>59</v>
      </c>
    </row>
    <row r="591" spans="2:3" hidden="1" x14ac:dyDescent="0.2">
      <c r="B591" s="2">
        <v>3130700000</v>
      </c>
      <c r="C591" t="s">
        <v>59</v>
      </c>
    </row>
    <row r="592" spans="2:3" hidden="1" x14ac:dyDescent="0.2">
      <c r="B592" s="2">
        <v>3258700000</v>
      </c>
      <c r="C592" t="s">
        <v>59</v>
      </c>
    </row>
    <row r="593" spans="2:3" hidden="1" x14ac:dyDescent="0.2">
      <c r="B593" s="2">
        <v>3276500000</v>
      </c>
      <c r="C593" t="s">
        <v>59</v>
      </c>
    </row>
    <row r="594" spans="2:3" hidden="1" x14ac:dyDescent="0.2">
      <c r="B594" s="2">
        <v>637413000</v>
      </c>
      <c r="C594" t="s">
        <v>52</v>
      </c>
    </row>
    <row r="595" spans="2:3" hidden="1" x14ac:dyDescent="0.2">
      <c r="B595" s="2">
        <v>686090000</v>
      </c>
      <c r="C595" t="s">
        <v>52</v>
      </c>
    </row>
    <row r="596" spans="2:3" hidden="1" x14ac:dyDescent="0.2">
      <c r="B596" s="2">
        <v>744012000</v>
      </c>
      <c r="C596" t="s">
        <v>52</v>
      </c>
    </row>
    <row r="597" spans="2:3" hidden="1" x14ac:dyDescent="0.2">
      <c r="B597" s="2">
        <v>801591000</v>
      </c>
      <c r="C597" t="s">
        <v>52</v>
      </c>
    </row>
    <row r="598" spans="2:3" x14ac:dyDescent="0.2">
      <c r="B598" s="17">
        <v>170910000000</v>
      </c>
      <c r="C598" s="16" t="s">
        <v>22</v>
      </c>
    </row>
    <row r="599" spans="2:3" x14ac:dyDescent="0.2">
      <c r="B599" s="17">
        <v>182795000000</v>
      </c>
      <c r="C599" s="16" t="s">
        <v>22</v>
      </c>
    </row>
    <row r="600" spans="2:3" x14ac:dyDescent="0.2">
      <c r="B600" s="17">
        <v>233715000000</v>
      </c>
      <c r="C600" s="16" t="s">
        <v>22</v>
      </c>
    </row>
    <row r="601" spans="2:3" x14ac:dyDescent="0.2">
      <c r="B601" s="17">
        <v>215639000000</v>
      </c>
      <c r="C601" s="16" t="s">
        <v>22</v>
      </c>
    </row>
    <row r="602" spans="2:3" hidden="1" x14ac:dyDescent="0.2">
      <c r="B602" s="2">
        <v>5011853000</v>
      </c>
      <c r="C602" t="s">
        <v>182</v>
      </c>
    </row>
    <row r="603" spans="2:3" hidden="1" x14ac:dyDescent="0.2">
      <c r="B603" s="2">
        <v>4762000000</v>
      </c>
      <c r="C603" t="s">
        <v>182</v>
      </c>
    </row>
    <row r="604" spans="2:3" hidden="1" x14ac:dyDescent="0.2">
      <c r="B604" s="2">
        <v>4772000000</v>
      </c>
      <c r="C604" t="s">
        <v>182</v>
      </c>
    </row>
    <row r="605" spans="2:3" hidden="1" x14ac:dyDescent="0.2">
      <c r="B605" s="2">
        <v>5576000000</v>
      </c>
      <c r="C605" t="s">
        <v>182</v>
      </c>
    </row>
    <row r="606" spans="2:3" hidden="1" x14ac:dyDescent="0.2">
      <c r="B606" s="2">
        <v>30930000000</v>
      </c>
      <c r="C606" t="s">
        <v>13</v>
      </c>
    </row>
    <row r="607" spans="2:3" hidden="1" x14ac:dyDescent="0.2">
      <c r="B607" s="2">
        <v>30852000000</v>
      </c>
      <c r="C607" t="s">
        <v>13</v>
      </c>
    </row>
    <row r="608" spans="2:3" hidden="1" x14ac:dyDescent="0.2">
      <c r="B608" s="2">
        <v>31469000000</v>
      </c>
      <c r="C608" t="s">
        <v>13</v>
      </c>
    </row>
    <row r="609" spans="2:3" hidden="1" x14ac:dyDescent="0.2">
      <c r="B609" s="2">
        <v>31353000000</v>
      </c>
      <c r="C609" t="s">
        <v>13</v>
      </c>
    </row>
    <row r="610" spans="2:3" hidden="1" x14ac:dyDescent="0.2">
      <c r="B610" s="2">
        <v>2426301000</v>
      </c>
      <c r="C610" t="s">
        <v>52</v>
      </c>
    </row>
    <row r="611" spans="2:3" hidden="1" x14ac:dyDescent="0.2">
      <c r="B611" s="2">
        <v>2486017000</v>
      </c>
      <c r="C611" t="s">
        <v>52</v>
      </c>
    </row>
    <row r="612" spans="2:3" hidden="1" x14ac:dyDescent="0.2">
      <c r="B612" s="2">
        <v>2535559000</v>
      </c>
      <c r="C612" t="s">
        <v>52</v>
      </c>
    </row>
    <row r="613" spans="2:3" hidden="1" x14ac:dyDescent="0.2">
      <c r="B613" s="2">
        <v>2403906000</v>
      </c>
      <c r="C613" t="s">
        <v>52</v>
      </c>
    </row>
    <row r="614" spans="2:3" hidden="1" x14ac:dyDescent="0.2">
      <c r="B614" s="2">
        <v>9702000000</v>
      </c>
      <c r="C614" t="s">
        <v>25</v>
      </c>
    </row>
    <row r="615" spans="2:3" hidden="1" x14ac:dyDescent="0.2">
      <c r="B615" s="2">
        <v>11202000000</v>
      </c>
      <c r="C615" t="s">
        <v>25</v>
      </c>
    </row>
    <row r="616" spans="2:3" hidden="1" x14ac:dyDescent="0.2">
      <c r="B616" s="2">
        <v>24890000000</v>
      </c>
      <c r="C616" t="s">
        <v>25</v>
      </c>
    </row>
    <row r="617" spans="2:3" hidden="1" x14ac:dyDescent="0.2">
      <c r="B617" s="2">
        <v>32639000000</v>
      </c>
      <c r="C617" t="s">
        <v>25</v>
      </c>
    </row>
    <row r="618" spans="2:3" hidden="1" x14ac:dyDescent="0.2">
      <c r="B618" s="2">
        <v>17774100000</v>
      </c>
      <c r="C618" t="s">
        <v>36</v>
      </c>
    </row>
    <row r="619" spans="2:3" hidden="1" x14ac:dyDescent="0.2">
      <c r="B619" s="2">
        <v>17909600000</v>
      </c>
      <c r="C619" t="s">
        <v>36</v>
      </c>
    </row>
    <row r="620" spans="2:3" hidden="1" x14ac:dyDescent="0.2">
      <c r="B620" s="2">
        <v>17630300000</v>
      </c>
      <c r="C620" t="s">
        <v>36</v>
      </c>
    </row>
    <row r="621" spans="2:3" hidden="1" x14ac:dyDescent="0.2">
      <c r="B621" s="2">
        <v>16563100000</v>
      </c>
      <c r="C621" t="s">
        <v>36</v>
      </c>
    </row>
    <row r="622" spans="2:3" x14ac:dyDescent="0.2">
      <c r="B622" s="17">
        <v>4055240000</v>
      </c>
      <c r="C622" s="16" t="s">
        <v>22</v>
      </c>
    </row>
    <row r="623" spans="2:3" x14ac:dyDescent="0.2">
      <c r="B623" s="17">
        <v>4147065000</v>
      </c>
      <c r="C623" s="16" t="s">
        <v>22</v>
      </c>
    </row>
    <row r="624" spans="2:3" x14ac:dyDescent="0.2">
      <c r="B624" s="17">
        <v>4795511000</v>
      </c>
      <c r="C624" s="16" t="s">
        <v>22</v>
      </c>
    </row>
    <row r="625" spans="2:3" x14ac:dyDescent="0.2">
      <c r="B625" s="17">
        <v>5854430000</v>
      </c>
      <c r="C625" s="16" t="s">
        <v>22</v>
      </c>
    </row>
    <row r="626" spans="2:3" hidden="1" x14ac:dyDescent="0.2">
      <c r="B626" s="2">
        <v>155427000000</v>
      </c>
      <c r="C626" t="s">
        <v>19</v>
      </c>
    </row>
    <row r="627" spans="2:3" hidden="1" x14ac:dyDescent="0.2">
      <c r="B627" s="2">
        <v>155929000000</v>
      </c>
      <c r="C627" t="s">
        <v>19</v>
      </c>
    </row>
    <row r="628" spans="2:3" hidden="1" x14ac:dyDescent="0.2">
      <c r="B628" s="2">
        <v>152356000000</v>
      </c>
      <c r="C628" t="s">
        <v>19</v>
      </c>
    </row>
    <row r="629" spans="2:3" hidden="1" x14ac:dyDescent="0.2">
      <c r="B629" s="2">
        <v>166380000000</v>
      </c>
      <c r="C629" t="s">
        <v>19</v>
      </c>
    </row>
    <row r="630" spans="2:3" hidden="1" x14ac:dyDescent="0.2">
      <c r="B630" s="2">
        <v>13013868000</v>
      </c>
      <c r="C630" t="s">
        <v>19</v>
      </c>
    </row>
    <row r="631" spans="2:3" hidden="1" x14ac:dyDescent="0.2">
      <c r="B631" s="2">
        <v>14077843000</v>
      </c>
      <c r="C631" t="s">
        <v>19</v>
      </c>
    </row>
    <row r="632" spans="2:3" hidden="1" x14ac:dyDescent="0.2">
      <c r="B632" s="2">
        <v>15341647000</v>
      </c>
      <c r="C632" t="s">
        <v>19</v>
      </c>
    </row>
    <row r="633" spans="2:3" hidden="1" x14ac:dyDescent="0.2">
      <c r="B633" s="2">
        <v>15280044000</v>
      </c>
      <c r="C633" t="s">
        <v>19</v>
      </c>
    </row>
    <row r="634" spans="2:3" x14ac:dyDescent="0.2">
      <c r="B634" s="17">
        <v>2633689000</v>
      </c>
      <c r="C634" s="16" t="s">
        <v>22</v>
      </c>
    </row>
    <row r="635" spans="2:3" x14ac:dyDescent="0.2">
      <c r="B635" s="17">
        <v>2864773000</v>
      </c>
      <c r="C635" s="16" t="s">
        <v>22</v>
      </c>
    </row>
    <row r="636" spans="2:3" x14ac:dyDescent="0.2">
      <c r="B636" s="17">
        <v>3435092000</v>
      </c>
      <c r="C636" s="16" t="s">
        <v>22</v>
      </c>
    </row>
    <row r="637" spans="2:3" x14ac:dyDescent="0.2">
      <c r="B637" s="17">
        <v>3421409000</v>
      </c>
      <c r="C637" s="16" t="s">
        <v>22</v>
      </c>
    </row>
    <row r="638" spans="2:3" hidden="1" x14ac:dyDescent="0.2">
      <c r="B638" s="2">
        <v>15651000000</v>
      </c>
      <c r="C638" t="s">
        <v>19</v>
      </c>
    </row>
    <row r="639" spans="2:3" hidden="1" x14ac:dyDescent="0.2">
      <c r="B639" s="2">
        <v>16148000000</v>
      </c>
      <c r="C639" t="s">
        <v>19</v>
      </c>
    </row>
    <row r="640" spans="2:3" hidden="1" x14ac:dyDescent="0.2">
      <c r="B640" s="2">
        <v>16435000000</v>
      </c>
      <c r="C640" t="s">
        <v>19</v>
      </c>
    </row>
    <row r="641" spans="2:3" hidden="1" x14ac:dyDescent="0.2">
      <c r="B641" s="2">
        <v>15797000000</v>
      </c>
      <c r="C641" t="s">
        <v>19</v>
      </c>
    </row>
    <row r="642" spans="2:3" hidden="1" x14ac:dyDescent="0.2">
      <c r="B642" s="2">
        <v>2715675000</v>
      </c>
      <c r="C642" t="s">
        <v>19</v>
      </c>
    </row>
    <row r="643" spans="2:3" hidden="1" x14ac:dyDescent="0.2">
      <c r="B643" s="2">
        <v>2631851000</v>
      </c>
      <c r="C643" t="s">
        <v>19</v>
      </c>
    </row>
    <row r="644" spans="2:3" hidden="1" x14ac:dyDescent="0.2">
      <c r="B644" s="2">
        <v>2870658000</v>
      </c>
      <c r="C644" t="s">
        <v>19</v>
      </c>
    </row>
    <row r="645" spans="2:3" hidden="1" x14ac:dyDescent="0.2">
      <c r="B645" s="2">
        <v>2820270000</v>
      </c>
      <c r="C645" t="s">
        <v>19</v>
      </c>
    </row>
    <row r="646" spans="2:3" hidden="1" x14ac:dyDescent="0.2">
      <c r="B646" s="2">
        <v>19540000000</v>
      </c>
      <c r="C646" t="s">
        <v>19</v>
      </c>
    </row>
    <row r="647" spans="2:3" hidden="1" x14ac:dyDescent="0.2">
      <c r="B647" s="2">
        <v>18138000000</v>
      </c>
      <c r="C647" t="s">
        <v>19</v>
      </c>
    </row>
    <row r="648" spans="2:3" hidden="1" x14ac:dyDescent="0.2">
      <c r="B648" s="2">
        <v>16443000000</v>
      </c>
      <c r="C648" t="s">
        <v>19</v>
      </c>
    </row>
    <row r="649" spans="2:3" hidden="1" x14ac:dyDescent="0.2">
      <c r="B649" s="2">
        <v>15158000000</v>
      </c>
      <c r="C649" t="s">
        <v>19</v>
      </c>
    </row>
    <row r="650" spans="2:3" hidden="1" x14ac:dyDescent="0.2">
      <c r="B650" s="2">
        <v>8950045000</v>
      </c>
      <c r="C650" t="s">
        <v>13</v>
      </c>
    </row>
    <row r="651" spans="2:3" hidden="1" x14ac:dyDescent="0.2">
      <c r="B651" s="2">
        <v>9437758000</v>
      </c>
      <c r="C651" t="s">
        <v>13</v>
      </c>
    </row>
    <row r="652" spans="2:3" hidden="1" x14ac:dyDescent="0.2">
      <c r="B652" s="2">
        <v>9964953000</v>
      </c>
      <c r="C652" t="s">
        <v>13</v>
      </c>
    </row>
    <row r="653" spans="2:3" hidden="1" x14ac:dyDescent="0.2">
      <c r="B653" s="2">
        <v>9973384000</v>
      </c>
      <c r="C653" t="s">
        <v>13</v>
      </c>
    </row>
    <row r="654" spans="2:3" x14ac:dyDescent="0.2">
      <c r="B654" s="17">
        <v>3641390000</v>
      </c>
      <c r="C654" s="16" t="s">
        <v>22</v>
      </c>
    </row>
    <row r="655" spans="2:3" x14ac:dyDescent="0.2">
      <c r="B655" s="17">
        <v>4319063000</v>
      </c>
      <c r="C655" s="16" t="s">
        <v>22</v>
      </c>
    </row>
    <row r="656" spans="2:3" x14ac:dyDescent="0.2">
      <c r="B656" s="17">
        <v>5302940000</v>
      </c>
      <c r="C656" s="16" t="s">
        <v>22</v>
      </c>
    </row>
    <row r="657" spans="2:3" x14ac:dyDescent="0.2">
      <c r="B657" s="17">
        <v>6439746000</v>
      </c>
      <c r="C657" s="16" t="s">
        <v>22</v>
      </c>
    </row>
    <row r="658" spans="2:3" hidden="1" x14ac:dyDescent="0.2">
      <c r="B658" s="2">
        <v>4297842000</v>
      </c>
      <c r="C658" t="s">
        <v>19</v>
      </c>
    </row>
    <row r="659" spans="2:3" hidden="1" x14ac:dyDescent="0.2">
      <c r="B659" s="2">
        <v>5348483000</v>
      </c>
      <c r="C659" t="s">
        <v>19</v>
      </c>
    </row>
    <row r="660" spans="2:3" hidden="1" x14ac:dyDescent="0.2">
      <c r="B660" s="2">
        <v>6155297000</v>
      </c>
      <c r="C660" t="s">
        <v>19</v>
      </c>
    </row>
    <row r="661" spans="2:3" hidden="1" x14ac:dyDescent="0.2">
      <c r="B661" s="2">
        <v>6911676000</v>
      </c>
      <c r="C661" t="s">
        <v>19</v>
      </c>
    </row>
    <row r="662" spans="2:3" hidden="1" x14ac:dyDescent="0.2">
      <c r="B662" s="2">
        <v>4088983000</v>
      </c>
      <c r="C662" t="s">
        <v>19</v>
      </c>
    </row>
    <row r="663" spans="2:3" hidden="1" x14ac:dyDescent="0.2">
      <c r="B663" s="2">
        <v>4082157000</v>
      </c>
      <c r="C663" t="s">
        <v>19</v>
      </c>
    </row>
    <row r="664" spans="2:3" hidden="1" x14ac:dyDescent="0.2">
      <c r="B664" s="2">
        <v>4277207000</v>
      </c>
      <c r="C664" t="s">
        <v>19</v>
      </c>
    </row>
    <row r="665" spans="2:3" hidden="1" x14ac:dyDescent="0.2">
      <c r="B665" s="2">
        <v>4447509000</v>
      </c>
      <c r="C665" t="s">
        <v>19</v>
      </c>
    </row>
    <row r="666" spans="2:3" hidden="1" x14ac:dyDescent="0.2">
      <c r="B666" s="2">
        <v>3036584000</v>
      </c>
      <c r="C666" t="s">
        <v>47</v>
      </c>
    </row>
    <row r="667" spans="2:3" hidden="1" x14ac:dyDescent="0.2">
      <c r="B667" s="2">
        <v>2872833000</v>
      </c>
      <c r="C667" t="s">
        <v>47</v>
      </c>
    </row>
    <row r="668" spans="2:3" hidden="1" x14ac:dyDescent="0.2">
      <c r="B668" s="2">
        <v>2955641000</v>
      </c>
      <c r="C668" t="s">
        <v>47</v>
      </c>
    </row>
    <row r="669" spans="2:3" hidden="1" x14ac:dyDescent="0.2">
      <c r="B669" s="2">
        <v>3153251000</v>
      </c>
      <c r="C669" t="s">
        <v>47</v>
      </c>
    </row>
    <row r="670" spans="2:3" hidden="1" x14ac:dyDescent="0.2">
      <c r="B670" s="2">
        <v>4627802000</v>
      </c>
      <c r="C670" t="s">
        <v>19</v>
      </c>
    </row>
    <row r="671" spans="2:3" hidden="1" x14ac:dyDescent="0.2">
      <c r="B671" s="2">
        <v>5324746000</v>
      </c>
      <c r="C671" t="s">
        <v>19</v>
      </c>
    </row>
    <row r="672" spans="2:3" hidden="1" x14ac:dyDescent="0.2">
      <c r="B672" s="2">
        <v>5731549000</v>
      </c>
      <c r="C672" t="s">
        <v>19</v>
      </c>
    </row>
    <row r="673" spans="2:3" hidden="1" x14ac:dyDescent="0.2">
      <c r="B673" s="2">
        <v>6028199000</v>
      </c>
      <c r="C673" t="s">
        <v>19</v>
      </c>
    </row>
    <row r="674" spans="2:3" hidden="1" x14ac:dyDescent="0.2">
      <c r="B674" s="2">
        <v>33013000000</v>
      </c>
      <c r="C674" t="s">
        <v>25</v>
      </c>
    </row>
    <row r="675" spans="2:3" hidden="1" x14ac:dyDescent="0.2">
      <c r="B675" s="2">
        <v>34182000000</v>
      </c>
      <c r="C675" t="s">
        <v>25</v>
      </c>
    </row>
    <row r="676" spans="2:3" hidden="1" x14ac:dyDescent="0.2">
      <c r="B676" s="2">
        <v>36918000000</v>
      </c>
      <c r="C676" t="s">
        <v>25</v>
      </c>
    </row>
    <row r="677" spans="2:3" hidden="1" x14ac:dyDescent="0.2">
      <c r="B677" s="2">
        <v>39678000000</v>
      </c>
      <c r="C677" t="s">
        <v>25</v>
      </c>
    </row>
    <row r="678" spans="2:3" hidden="1" x14ac:dyDescent="0.2">
      <c r="B678" s="2">
        <v>1765979000</v>
      </c>
      <c r="C678" t="s">
        <v>52</v>
      </c>
    </row>
    <row r="679" spans="2:3" hidden="1" x14ac:dyDescent="0.2">
      <c r="B679" s="2">
        <v>2847945000</v>
      </c>
      <c r="C679" t="s">
        <v>52</v>
      </c>
    </row>
    <row r="680" spans="2:3" hidden="1" x14ac:dyDescent="0.2">
      <c r="B680" s="2">
        <v>3305879000</v>
      </c>
      <c r="C680" t="s">
        <v>52</v>
      </c>
    </row>
    <row r="681" spans="2:3" hidden="1" x14ac:dyDescent="0.2">
      <c r="B681" s="2">
        <v>3775685000</v>
      </c>
      <c r="C681" t="s">
        <v>52</v>
      </c>
    </row>
    <row r="682" spans="2:3" hidden="1" x14ac:dyDescent="0.2">
      <c r="B682" s="2">
        <v>2013719000</v>
      </c>
      <c r="C682" t="s">
        <v>52</v>
      </c>
    </row>
    <row r="683" spans="2:3" hidden="1" x14ac:dyDescent="0.2">
      <c r="B683" s="2">
        <v>1563210000</v>
      </c>
      <c r="C683" t="s">
        <v>52</v>
      </c>
    </row>
    <row r="684" spans="2:3" hidden="1" x14ac:dyDescent="0.2">
      <c r="B684" s="2">
        <v>1828305000</v>
      </c>
      <c r="C684" t="s">
        <v>52</v>
      </c>
    </row>
    <row r="685" spans="2:3" hidden="1" x14ac:dyDescent="0.2">
      <c r="B685" s="2">
        <v>2040486000</v>
      </c>
      <c r="C685" t="s">
        <v>52</v>
      </c>
    </row>
    <row r="686" spans="2:3" hidden="1" x14ac:dyDescent="0.2">
      <c r="B686" s="2">
        <v>74754000000</v>
      </c>
      <c r="C686" t="s">
        <v>19</v>
      </c>
    </row>
    <row r="687" spans="2:3" hidden="1" x14ac:dyDescent="0.2">
      <c r="B687" s="2">
        <v>78812000000</v>
      </c>
      <c r="C687" t="s">
        <v>19</v>
      </c>
    </row>
    <row r="688" spans="2:3" hidden="1" x14ac:dyDescent="0.2">
      <c r="B688" s="2">
        <v>83176000000</v>
      </c>
      <c r="C688" t="s">
        <v>19</v>
      </c>
    </row>
    <row r="689" spans="2:3" hidden="1" x14ac:dyDescent="0.2">
      <c r="B689" s="2">
        <v>88519000000</v>
      </c>
      <c r="C689" t="s">
        <v>19</v>
      </c>
    </row>
    <row r="690" spans="2:3" x14ac:dyDescent="0.2">
      <c r="B690" s="17">
        <v>2312200000</v>
      </c>
      <c r="C690" s="16" t="s">
        <v>22</v>
      </c>
    </row>
    <row r="691" spans="2:3" x14ac:dyDescent="0.2">
      <c r="B691" s="17">
        <v>2273900000</v>
      </c>
      <c r="C691" s="16" t="s">
        <v>22</v>
      </c>
    </row>
    <row r="692" spans="2:3" x14ac:dyDescent="0.2">
      <c r="B692" s="17">
        <v>2512200000</v>
      </c>
      <c r="C692" s="16" t="s">
        <v>22</v>
      </c>
    </row>
    <row r="693" spans="2:3" x14ac:dyDescent="0.2">
      <c r="B693" s="17">
        <v>2504100000</v>
      </c>
      <c r="C693" s="16" t="s">
        <v>22</v>
      </c>
    </row>
    <row r="694" spans="2:3" hidden="1" x14ac:dyDescent="0.2">
      <c r="B694" s="2">
        <v>22086000000</v>
      </c>
      <c r="C694" t="s">
        <v>47</v>
      </c>
    </row>
    <row r="695" spans="2:3" hidden="1" x14ac:dyDescent="0.2">
      <c r="B695" s="2">
        <v>20673000000</v>
      </c>
      <c r="C695" t="s">
        <v>47</v>
      </c>
    </row>
    <row r="696" spans="2:3" hidden="1" x14ac:dyDescent="0.2">
      <c r="B696" s="2">
        <v>18614000000</v>
      </c>
      <c r="C696" t="s">
        <v>47</v>
      </c>
    </row>
    <row r="697" spans="2:3" hidden="1" x14ac:dyDescent="0.2">
      <c r="B697" s="2">
        <v>18377000000</v>
      </c>
      <c r="C697" t="s">
        <v>47</v>
      </c>
    </row>
    <row r="698" spans="2:3" hidden="1" x14ac:dyDescent="0.2">
      <c r="B698" s="2">
        <v>5580506000</v>
      </c>
      <c r="C698" t="s">
        <v>19</v>
      </c>
    </row>
    <row r="699" spans="2:3" hidden="1" x14ac:dyDescent="0.2">
      <c r="B699" s="2">
        <v>5899872000</v>
      </c>
      <c r="C699" t="s">
        <v>19</v>
      </c>
    </row>
    <row r="700" spans="2:3" hidden="1" x14ac:dyDescent="0.2">
      <c r="B700" s="2">
        <v>6228508000</v>
      </c>
      <c r="C700" t="s">
        <v>19</v>
      </c>
    </row>
    <row r="701" spans="2:3" hidden="1" x14ac:dyDescent="0.2">
      <c r="B701" s="2">
        <v>5995402000</v>
      </c>
      <c r="C701" t="s">
        <v>19</v>
      </c>
    </row>
    <row r="702" spans="2:3" hidden="1" x14ac:dyDescent="0.2">
      <c r="B702" s="2">
        <v>2492300000</v>
      </c>
      <c r="C702" t="s">
        <v>25</v>
      </c>
    </row>
    <row r="703" spans="2:3" hidden="1" x14ac:dyDescent="0.2">
      <c r="B703" s="2">
        <v>2530700000</v>
      </c>
      <c r="C703" t="s">
        <v>25</v>
      </c>
    </row>
    <row r="704" spans="2:3" hidden="1" x14ac:dyDescent="0.2">
      <c r="B704" s="2">
        <v>2705000000</v>
      </c>
      <c r="C704" t="s">
        <v>25</v>
      </c>
    </row>
    <row r="705" spans="2:3" hidden="1" x14ac:dyDescent="0.2">
      <c r="B705" s="2">
        <v>2832700000</v>
      </c>
      <c r="C705" t="s">
        <v>25</v>
      </c>
    </row>
    <row r="706" spans="2:3" hidden="1" x14ac:dyDescent="0.2">
      <c r="B706" s="2">
        <v>39055000000</v>
      </c>
      <c r="C706" t="s">
        <v>13</v>
      </c>
    </row>
    <row r="707" spans="2:3" hidden="1" x14ac:dyDescent="0.2">
      <c r="B707" s="2">
        <v>40306000000</v>
      </c>
      <c r="C707" t="s">
        <v>13</v>
      </c>
    </row>
    <row r="708" spans="2:3" hidden="1" x14ac:dyDescent="0.2">
      <c r="B708" s="2">
        <v>38581000000</v>
      </c>
      <c r="C708" t="s">
        <v>13</v>
      </c>
    </row>
    <row r="709" spans="2:3" hidden="1" x14ac:dyDescent="0.2">
      <c r="B709" s="2">
        <v>39302000000</v>
      </c>
      <c r="C709" t="s">
        <v>13</v>
      </c>
    </row>
    <row r="710" spans="2:3" x14ac:dyDescent="0.2">
      <c r="B710" s="17">
        <v>1373947000</v>
      </c>
      <c r="C710" s="16" t="s">
        <v>22</v>
      </c>
    </row>
    <row r="711" spans="2:3" x14ac:dyDescent="0.2">
      <c r="B711" s="17">
        <v>1577922000</v>
      </c>
      <c r="C711" s="16" t="s">
        <v>22</v>
      </c>
    </row>
    <row r="712" spans="2:3" x14ac:dyDescent="0.2">
      <c r="B712" s="17">
        <v>1963874000</v>
      </c>
      <c r="C712" s="16" t="s">
        <v>22</v>
      </c>
    </row>
    <row r="713" spans="2:3" x14ac:dyDescent="0.2">
      <c r="B713" s="17">
        <v>2197448000</v>
      </c>
      <c r="C713" s="16" t="s">
        <v>22</v>
      </c>
    </row>
    <row r="714" spans="2:3" x14ac:dyDescent="0.2">
      <c r="B714" s="17">
        <v>7509000000</v>
      </c>
      <c r="C714" s="16" t="s">
        <v>22</v>
      </c>
    </row>
    <row r="715" spans="2:3" x14ac:dyDescent="0.2">
      <c r="B715" s="17">
        <v>9072000000</v>
      </c>
      <c r="C715" s="16" t="s">
        <v>22</v>
      </c>
    </row>
    <row r="716" spans="2:3" x14ac:dyDescent="0.2">
      <c r="B716" s="17">
        <v>9659000000</v>
      </c>
      <c r="C716" s="16" t="s">
        <v>22</v>
      </c>
    </row>
    <row r="717" spans="2:3" x14ac:dyDescent="0.2">
      <c r="B717" s="17">
        <v>10825000000</v>
      </c>
      <c r="C717" s="16" t="s">
        <v>22</v>
      </c>
    </row>
    <row r="718" spans="2:3" x14ac:dyDescent="0.2">
      <c r="B718" s="17">
        <v>4292100000</v>
      </c>
      <c r="C718" s="16" t="s">
        <v>22</v>
      </c>
    </row>
    <row r="719" spans="2:3" x14ac:dyDescent="0.2">
      <c r="B719" s="17">
        <v>4614700000</v>
      </c>
      <c r="C719" s="16" t="s">
        <v>22</v>
      </c>
    </row>
    <row r="720" spans="2:3" x14ac:dyDescent="0.2">
      <c r="B720" s="17">
        <v>5345500000</v>
      </c>
      <c r="C720" s="16" t="s">
        <v>22</v>
      </c>
    </row>
    <row r="721" spans="2:3" hidden="1" x14ac:dyDescent="0.2">
      <c r="B721" s="2">
        <v>2807114000</v>
      </c>
      <c r="C721" t="s">
        <v>47</v>
      </c>
    </row>
    <row r="722" spans="2:3" hidden="1" x14ac:dyDescent="0.2">
      <c r="B722" s="2">
        <v>3024295000</v>
      </c>
      <c r="C722" t="s">
        <v>47</v>
      </c>
    </row>
    <row r="723" spans="2:3" hidden="1" x14ac:dyDescent="0.2">
      <c r="B723" s="2">
        <v>3078658000</v>
      </c>
      <c r="C723" t="s">
        <v>47</v>
      </c>
    </row>
    <row r="724" spans="2:3" hidden="1" x14ac:dyDescent="0.2">
      <c r="B724" s="2">
        <v>3038153000</v>
      </c>
      <c r="C724" t="s">
        <v>47</v>
      </c>
    </row>
    <row r="725" spans="2:3" hidden="1" x14ac:dyDescent="0.2">
      <c r="B725" s="2">
        <v>8751654000</v>
      </c>
      <c r="C725" t="s">
        <v>36</v>
      </c>
    </row>
    <row r="726" spans="2:3" hidden="1" x14ac:dyDescent="0.2">
      <c r="B726" s="2">
        <v>9316256000</v>
      </c>
      <c r="C726" t="s">
        <v>36</v>
      </c>
    </row>
    <row r="727" spans="2:3" hidden="1" x14ac:dyDescent="0.2">
      <c r="B727" s="2">
        <v>9263863000</v>
      </c>
      <c r="C727" t="s">
        <v>36</v>
      </c>
    </row>
    <row r="728" spans="2:3" hidden="1" x14ac:dyDescent="0.2">
      <c r="B728" s="2">
        <v>9523224000</v>
      </c>
      <c r="C728" t="s">
        <v>36</v>
      </c>
    </row>
    <row r="729" spans="2:3" x14ac:dyDescent="0.2">
      <c r="B729" s="17">
        <v>5568700000</v>
      </c>
      <c r="C729" s="16" t="s">
        <v>22</v>
      </c>
    </row>
    <row r="730" spans="2:3" x14ac:dyDescent="0.2">
      <c r="B730" s="17">
        <v>4856000000</v>
      </c>
      <c r="C730" s="16" t="s">
        <v>22</v>
      </c>
    </row>
    <row r="731" spans="2:3" x14ac:dyDescent="0.2">
      <c r="B731" s="17">
        <v>4583000000</v>
      </c>
      <c r="C731" s="16" t="s">
        <v>22</v>
      </c>
    </row>
    <row r="732" spans="2:3" x14ac:dyDescent="0.2">
      <c r="B732" s="17">
        <v>4408000000</v>
      </c>
      <c r="C732" s="16" t="s">
        <v>22</v>
      </c>
    </row>
    <row r="733" spans="2:3" hidden="1" x14ac:dyDescent="0.2">
      <c r="B733" s="2">
        <v>8939967000</v>
      </c>
      <c r="C733" t="s">
        <v>25</v>
      </c>
    </row>
    <row r="734" spans="2:3" hidden="1" x14ac:dyDescent="0.2">
      <c r="B734" s="2">
        <v>9560647000</v>
      </c>
      <c r="C734" t="s">
        <v>25</v>
      </c>
    </row>
    <row r="735" spans="2:3" hidden="1" x14ac:dyDescent="0.2">
      <c r="B735" s="2">
        <v>10371390000</v>
      </c>
      <c r="C735" t="s">
        <v>25</v>
      </c>
    </row>
    <row r="736" spans="2:3" hidden="1" x14ac:dyDescent="0.2">
      <c r="B736" s="2">
        <v>10629719000</v>
      </c>
      <c r="C736" t="s">
        <v>25</v>
      </c>
    </row>
    <row r="737" spans="2:3" hidden="1" x14ac:dyDescent="0.2">
      <c r="B737" s="2">
        <v>5059000000</v>
      </c>
      <c r="C737" t="s">
        <v>52</v>
      </c>
    </row>
    <row r="738" spans="2:3" hidden="1" x14ac:dyDescent="0.2">
      <c r="B738" s="2">
        <v>5166000000</v>
      </c>
      <c r="C738" t="s">
        <v>52</v>
      </c>
    </row>
    <row r="739" spans="2:3" hidden="1" x14ac:dyDescent="0.2">
      <c r="B739" s="2">
        <v>5354000000</v>
      </c>
      <c r="C739" t="s">
        <v>52</v>
      </c>
    </row>
    <row r="740" spans="2:3" hidden="1" x14ac:dyDescent="0.2">
      <c r="B740" s="2">
        <v>5387000000</v>
      </c>
      <c r="C740" t="s">
        <v>52</v>
      </c>
    </row>
    <row r="741" spans="2:3" hidden="1" x14ac:dyDescent="0.2">
      <c r="B741" s="2">
        <v>6644252000</v>
      </c>
      <c r="C741" t="s">
        <v>36</v>
      </c>
    </row>
    <row r="742" spans="2:3" hidden="1" x14ac:dyDescent="0.2">
      <c r="B742" s="2">
        <v>7146079000</v>
      </c>
      <c r="C742" t="s">
        <v>36</v>
      </c>
    </row>
    <row r="743" spans="2:3" hidden="1" x14ac:dyDescent="0.2">
      <c r="B743" s="2">
        <v>7421768000</v>
      </c>
      <c r="C743" t="s">
        <v>36</v>
      </c>
    </row>
    <row r="744" spans="2:3" hidden="1" x14ac:dyDescent="0.2">
      <c r="B744" s="2">
        <v>7386626000</v>
      </c>
      <c r="C744" t="s">
        <v>36</v>
      </c>
    </row>
    <row r="745" spans="2:3" hidden="1" x14ac:dyDescent="0.2">
      <c r="B745" s="2">
        <v>41313000000</v>
      </c>
      <c r="C745" t="s">
        <v>25</v>
      </c>
    </row>
    <row r="746" spans="2:3" hidden="1" x14ac:dyDescent="0.2">
      <c r="B746" s="2">
        <v>48500000000</v>
      </c>
      <c r="C746" t="s">
        <v>25</v>
      </c>
    </row>
    <row r="747" spans="2:3" hidden="1" x14ac:dyDescent="0.2">
      <c r="B747" s="2">
        <v>54289000000</v>
      </c>
      <c r="C747" t="s">
        <v>25</v>
      </c>
    </row>
    <row r="748" spans="2:3" hidden="1" x14ac:dyDescent="0.2">
      <c r="B748" s="2">
        <v>54379000000</v>
      </c>
      <c r="C748" t="s">
        <v>25</v>
      </c>
    </row>
    <row r="749" spans="2:3" x14ac:dyDescent="0.2">
      <c r="B749" s="17">
        <v>4664000000</v>
      </c>
      <c r="C749" s="16" t="s">
        <v>22</v>
      </c>
    </row>
    <row r="750" spans="2:3" x14ac:dyDescent="0.2">
      <c r="B750" s="17">
        <v>6824000000</v>
      </c>
      <c r="C750" s="16" t="s">
        <v>22</v>
      </c>
    </row>
    <row r="751" spans="2:3" x14ac:dyDescent="0.2">
      <c r="B751" s="17">
        <v>13240000000</v>
      </c>
      <c r="C751" s="16" t="s">
        <v>22</v>
      </c>
    </row>
    <row r="752" spans="2:3" x14ac:dyDescent="0.2">
      <c r="B752" s="17">
        <v>3050195000</v>
      </c>
      <c r="C752" s="16" t="s">
        <v>22</v>
      </c>
    </row>
    <row r="753" spans="2:3" hidden="1" x14ac:dyDescent="0.2">
      <c r="B753" s="2">
        <v>1293338000</v>
      </c>
      <c r="C753" t="s">
        <v>25</v>
      </c>
    </row>
    <row r="754" spans="2:3" hidden="1" x14ac:dyDescent="0.2">
      <c r="B754" s="2">
        <v>1377058000</v>
      </c>
      <c r="C754" t="s">
        <v>25</v>
      </c>
    </row>
    <row r="755" spans="2:3" hidden="1" x14ac:dyDescent="0.2">
      <c r="B755" s="2">
        <v>1485807000</v>
      </c>
      <c r="C755" t="s">
        <v>25</v>
      </c>
    </row>
    <row r="756" spans="2:3" hidden="1" x14ac:dyDescent="0.2">
      <c r="B756" s="2">
        <v>1601892000</v>
      </c>
      <c r="C756" t="s">
        <v>25</v>
      </c>
    </row>
    <row r="757" spans="2:3" hidden="1" x14ac:dyDescent="0.2">
      <c r="B757" s="2">
        <v>2821446000</v>
      </c>
      <c r="C757" t="s">
        <v>59</v>
      </c>
    </row>
    <row r="758" spans="2:3" hidden="1" x14ac:dyDescent="0.2">
      <c r="B758" s="2">
        <v>2952896000</v>
      </c>
      <c r="C758" t="s">
        <v>59</v>
      </c>
    </row>
    <row r="759" spans="2:3" hidden="1" x14ac:dyDescent="0.2">
      <c r="B759" s="2">
        <v>3088533000</v>
      </c>
      <c r="C759" t="s">
        <v>59</v>
      </c>
    </row>
    <row r="760" spans="2:3" hidden="1" x14ac:dyDescent="0.2">
      <c r="B760" s="2">
        <v>3023189000</v>
      </c>
      <c r="C760" t="s">
        <v>59</v>
      </c>
    </row>
    <row r="761" spans="2:3" hidden="1" x14ac:dyDescent="0.2">
      <c r="B761" s="2">
        <v>1421178000</v>
      </c>
      <c r="C761" t="s">
        <v>25</v>
      </c>
    </row>
    <row r="762" spans="2:3" hidden="1" x14ac:dyDescent="0.2">
      <c r="B762" s="2">
        <v>1861358000</v>
      </c>
      <c r="C762" t="s">
        <v>25</v>
      </c>
    </row>
    <row r="763" spans="2:3" hidden="1" x14ac:dyDescent="0.2">
      <c r="B763" s="2">
        <v>2219762000</v>
      </c>
      <c r="C763" t="s">
        <v>25</v>
      </c>
    </row>
    <row r="764" spans="2:3" hidden="1" x14ac:dyDescent="0.2">
      <c r="B764" s="2">
        <v>2398373000</v>
      </c>
      <c r="C764" t="s">
        <v>25</v>
      </c>
    </row>
    <row r="765" spans="2:3" x14ac:dyDescent="0.2">
      <c r="B765" s="17">
        <v>4071003000</v>
      </c>
      <c r="C765" s="16" t="s">
        <v>22</v>
      </c>
    </row>
    <row r="766" spans="2:3" x14ac:dyDescent="0.2">
      <c r="B766" s="17">
        <v>5373586000</v>
      </c>
      <c r="C766" s="16" t="s">
        <v>22</v>
      </c>
    </row>
    <row r="767" spans="2:3" x14ac:dyDescent="0.2">
      <c r="B767" s="17">
        <v>6667216000</v>
      </c>
      <c r="C767" s="16" t="s">
        <v>22</v>
      </c>
    </row>
    <row r="768" spans="2:3" x14ac:dyDescent="0.2">
      <c r="B768" s="17">
        <v>48607000000</v>
      </c>
      <c r="C768" s="16" t="s">
        <v>22</v>
      </c>
    </row>
    <row r="769" spans="2:3" x14ac:dyDescent="0.2">
      <c r="B769" s="17">
        <v>47142000000</v>
      </c>
      <c r="C769" s="16" t="s">
        <v>22</v>
      </c>
    </row>
    <row r="770" spans="2:3" x14ac:dyDescent="0.2">
      <c r="B770" s="17">
        <v>49161000000</v>
      </c>
      <c r="C770" s="16" t="s">
        <v>22</v>
      </c>
    </row>
    <row r="771" spans="2:3" x14ac:dyDescent="0.2">
      <c r="B771" s="17">
        <v>49247000000</v>
      </c>
      <c r="C771" s="16" t="s">
        <v>22</v>
      </c>
    </row>
    <row r="772" spans="2:3" x14ac:dyDescent="0.2">
      <c r="B772" s="17">
        <v>4069746000</v>
      </c>
      <c r="C772" s="16" t="s">
        <v>22</v>
      </c>
    </row>
    <row r="773" spans="2:3" hidden="1" x14ac:dyDescent="0.2">
      <c r="B773" s="2">
        <v>21852000000</v>
      </c>
      <c r="C773" t="s">
        <v>59</v>
      </c>
    </row>
    <row r="774" spans="2:3" hidden="1" x14ac:dyDescent="0.2">
      <c r="B774" s="2">
        <v>23483000000</v>
      </c>
      <c r="C774" t="s">
        <v>59</v>
      </c>
    </row>
    <row r="775" spans="2:3" hidden="1" x14ac:dyDescent="0.2">
      <c r="B775" s="2">
        <v>23617000000</v>
      </c>
      <c r="C775" t="s">
        <v>59</v>
      </c>
    </row>
    <row r="776" spans="2:3" hidden="1" x14ac:dyDescent="0.2">
      <c r="B776" s="2">
        <v>22365000000</v>
      </c>
      <c r="C776" t="s">
        <v>59</v>
      </c>
    </row>
    <row r="777" spans="2:3" hidden="1" x14ac:dyDescent="0.2">
      <c r="B777" s="2">
        <v>6956200000</v>
      </c>
      <c r="C777" t="s">
        <v>19</v>
      </c>
    </row>
    <row r="778" spans="2:3" hidden="1" x14ac:dyDescent="0.2">
      <c r="B778" s="2">
        <v>7122300000</v>
      </c>
      <c r="C778" t="s">
        <v>19</v>
      </c>
    </row>
    <row r="779" spans="2:3" hidden="1" x14ac:dyDescent="0.2">
      <c r="B779" s="2">
        <v>7537100000</v>
      </c>
      <c r="C779" t="s">
        <v>19</v>
      </c>
    </row>
    <row r="780" spans="2:3" hidden="1" x14ac:dyDescent="0.2">
      <c r="B780" s="2">
        <v>7613800000</v>
      </c>
      <c r="C780" t="s">
        <v>19</v>
      </c>
    </row>
    <row r="781" spans="2:3" hidden="1" x14ac:dyDescent="0.2">
      <c r="B781" s="2">
        <v>3003955000</v>
      </c>
      <c r="C781" t="s">
        <v>52</v>
      </c>
    </row>
    <row r="782" spans="2:3" hidden="1" x14ac:dyDescent="0.2">
      <c r="B782" s="2">
        <v>3024623000</v>
      </c>
      <c r="C782" t="s">
        <v>52</v>
      </c>
    </row>
    <row r="783" spans="2:3" hidden="1" x14ac:dyDescent="0.2">
      <c r="B783" s="2">
        <v>3117693000</v>
      </c>
      <c r="C783" t="s">
        <v>52</v>
      </c>
    </row>
    <row r="784" spans="2:3" hidden="1" x14ac:dyDescent="0.2">
      <c r="B784" s="2">
        <v>3007976000</v>
      </c>
      <c r="C784" t="s">
        <v>52</v>
      </c>
    </row>
    <row r="785" spans="2:3" hidden="1" x14ac:dyDescent="0.2">
      <c r="B785" s="2">
        <v>2265100000</v>
      </c>
      <c r="C785" t="s">
        <v>25</v>
      </c>
    </row>
    <row r="786" spans="2:3" hidden="1" x14ac:dyDescent="0.2">
      <c r="B786" s="2">
        <v>2131700000</v>
      </c>
      <c r="C786" t="s">
        <v>25</v>
      </c>
    </row>
    <row r="787" spans="2:3" hidden="1" x14ac:dyDescent="0.2">
      <c r="B787" s="2">
        <v>2384400000</v>
      </c>
      <c r="C787" t="s">
        <v>25</v>
      </c>
    </row>
    <row r="788" spans="2:3" hidden="1" x14ac:dyDescent="0.2">
      <c r="B788" s="2">
        <v>2704400000</v>
      </c>
      <c r="C788" t="s">
        <v>25</v>
      </c>
    </row>
    <row r="789" spans="2:3" hidden="1" x14ac:dyDescent="0.2">
      <c r="B789" s="2">
        <v>14135000000</v>
      </c>
      <c r="C789" t="s">
        <v>13</v>
      </c>
    </row>
    <row r="790" spans="2:3" hidden="1" x14ac:dyDescent="0.2">
      <c r="B790" s="2">
        <v>14484000000</v>
      </c>
      <c r="C790" t="s">
        <v>13</v>
      </c>
    </row>
    <row r="791" spans="2:3" hidden="1" x14ac:dyDescent="0.2">
      <c r="B791" s="2">
        <v>13405000000</v>
      </c>
      <c r="C791" t="s">
        <v>13</v>
      </c>
    </row>
    <row r="792" spans="2:3" hidden="1" x14ac:dyDescent="0.2">
      <c r="B792" s="2">
        <v>13599000000</v>
      </c>
      <c r="C792" t="s">
        <v>13</v>
      </c>
    </row>
    <row r="793" spans="2:3" hidden="1" x14ac:dyDescent="0.2">
      <c r="B793" s="2">
        <v>4050400000</v>
      </c>
      <c r="C793" t="s">
        <v>47</v>
      </c>
    </row>
    <row r="794" spans="2:3" hidden="1" x14ac:dyDescent="0.2">
      <c r="B794" s="2">
        <v>4644600000</v>
      </c>
      <c r="C794" t="s">
        <v>47</v>
      </c>
    </row>
    <row r="795" spans="2:3" hidden="1" x14ac:dyDescent="0.2">
      <c r="B795" s="2">
        <v>5147100000</v>
      </c>
      <c r="C795" t="s">
        <v>47</v>
      </c>
    </row>
    <row r="796" spans="2:3" hidden="1" x14ac:dyDescent="0.2">
      <c r="B796" s="2">
        <v>5122900000</v>
      </c>
      <c r="C796" t="s">
        <v>47</v>
      </c>
    </row>
    <row r="797" spans="2:3" hidden="1" x14ac:dyDescent="0.2">
      <c r="B797" s="2">
        <v>5054980000</v>
      </c>
      <c r="C797" t="s">
        <v>13</v>
      </c>
    </row>
    <row r="798" spans="2:3" hidden="1" x14ac:dyDescent="0.2">
      <c r="B798" s="2">
        <v>5584571000</v>
      </c>
      <c r="C798" t="s">
        <v>13</v>
      </c>
    </row>
    <row r="799" spans="2:3" hidden="1" x14ac:dyDescent="0.2">
      <c r="B799" s="2">
        <v>6165441000</v>
      </c>
      <c r="C799" t="s">
        <v>13</v>
      </c>
    </row>
    <row r="800" spans="2:3" hidden="1" x14ac:dyDescent="0.2">
      <c r="B800" s="2">
        <v>6187646000</v>
      </c>
      <c r="C800" t="s">
        <v>13</v>
      </c>
    </row>
    <row r="801" spans="2:3" hidden="1" x14ac:dyDescent="0.2">
      <c r="B801" s="2">
        <v>11818376000</v>
      </c>
      <c r="C801" t="s">
        <v>13</v>
      </c>
    </row>
    <row r="802" spans="2:3" hidden="1" x14ac:dyDescent="0.2">
      <c r="B802" s="2">
        <v>12695157000</v>
      </c>
      <c r="C802" t="s">
        <v>13</v>
      </c>
    </row>
    <row r="803" spans="2:3" hidden="1" x14ac:dyDescent="0.2">
      <c r="B803" s="2">
        <v>12114832000</v>
      </c>
      <c r="C803" t="s">
        <v>13</v>
      </c>
    </row>
    <row r="804" spans="2:3" hidden="1" x14ac:dyDescent="0.2">
      <c r="B804" s="2">
        <v>10964157000</v>
      </c>
      <c r="C804" t="s">
        <v>13</v>
      </c>
    </row>
    <row r="805" spans="2:3" x14ac:dyDescent="0.2">
      <c r="B805" s="17">
        <v>4250447000</v>
      </c>
      <c r="C805" s="16" t="s">
        <v>22</v>
      </c>
    </row>
    <row r="806" spans="2:3" x14ac:dyDescent="0.2">
      <c r="B806" s="17">
        <v>7346472000</v>
      </c>
      <c r="C806" s="16" t="s">
        <v>22</v>
      </c>
    </row>
    <row r="807" spans="2:3" x14ac:dyDescent="0.2">
      <c r="B807" s="17">
        <v>8843200000</v>
      </c>
      <c r="C807" s="16" t="s">
        <v>22</v>
      </c>
    </row>
    <row r="808" spans="2:3" x14ac:dyDescent="0.2">
      <c r="B808" s="17">
        <v>10262700000</v>
      </c>
      <c r="C808" s="16" t="s">
        <v>22</v>
      </c>
    </row>
    <row r="809" spans="2:3" hidden="1" x14ac:dyDescent="0.2">
      <c r="B809" s="2">
        <v>93646000000</v>
      </c>
      <c r="C809" t="s">
        <v>47</v>
      </c>
    </row>
    <row r="810" spans="2:3" hidden="1" x14ac:dyDescent="0.2">
      <c r="B810" s="2">
        <v>97142000000</v>
      </c>
      <c r="C810" t="s">
        <v>47</v>
      </c>
    </row>
    <row r="811" spans="2:3" hidden="1" x14ac:dyDescent="0.2">
      <c r="B811" s="2">
        <v>91973000000</v>
      </c>
      <c r="C811" t="s">
        <v>47</v>
      </c>
    </row>
    <row r="812" spans="2:3" hidden="1" x14ac:dyDescent="0.2">
      <c r="B812" s="2">
        <v>89716000000</v>
      </c>
      <c r="C812" t="s">
        <v>47</v>
      </c>
    </row>
    <row r="813" spans="2:3" hidden="1" x14ac:dyDescent="0.2">
      <c r="B813" s="2">
        <v>12134000000</v>
      </c>
      <c r="C813" t="s">
        <v>19</v>
      </c>
    </row>
    <row r="814" spans="2:3" hidden="1" x14ac:dyDescent="0.2">
      <c r="B814" s="2">
        <v>12540000000</v>
      </c>
      <c r="C814" t="s">
        <v>19</v>
      </c>
    </row>
    <row r="815" spans="2:3" hidden="1" x14ac:dyDescent="0.2">
      <c r="B815" s="2">
        <v>13506000000</v>
      </c>
      <c r="C815" t="s">
        <v>19</v>
      </c>
    </row>
    <row r="816" spans="2:3" hidden="1" x14ac:dyDescent="0.2">
      <c r="B816" s="2">
        <v>14437000000</v>
      </c>
      <c r="C816" t="s">
        <v>19</v>
      </c>
    </row>
    <row r="817" spans="2:3" hidden="1" x14ac:dyDescent="0.2">
      <c r="B817" s="2">
        <v>14197000000</v>
      </c>
      <c r="C817" t="s">
        <v>36</v>
      </c>
    </row>
    <row r="818" spans="2:3" hidden="1" x14ac:dyDescent="0.2">
      <c r="B818" s="2">
        <v>14792000000</v>
      </c>
      <c r="C818" t="s">
        <v>36</v>
      </c>
    </row>
    <row r="819" spans="2:3" hidden="1" x14ac:dyDescent="0.2">
      <c r="B819" s="2">
        <v>14580000000</v>
      </c>
      <c r="C819" t="s">
        <v>36</v>
      </c>
    </row>
    <row r="820" spans="2:3" hidden="1" x14ac:dyDescent="0.2">
      <c r="B820" s="2">
        <v>13525000000</v>
      </c>
      <c r="C820" t="s">
        <v>36</v>
      </c>
    </row>
    <row r="821" spans="2:3" hidden="1" x14ac:dyDescent="0.2">
      <c r="B821" s="2">
        <v>1287577000</v>
      </c>
      <c r="C821" t="s">
        <v>47</v>
      </c>
    </row>
    <row r="822" spans="2:3" hidden="1" x14ac:dyDescent="0.2">
      <c r="B822" s="2">
        <v>1463767000</v>
      </c>
      <c r="C822" t="s">
        <v>47</v>
      </c>
    </row>
    <row r="823" spans="2:3" hidden="1" x14ac:dyDescent="0.2">
      <c r="B823" s="2">
        <v>1627413000</v>
      </c>
      <c r="C823" t="s">
        <v>47</v>
      </c>
    </row>
    <row r="824" spans="2:3" hidden="1" x14ac:dyDescent="0.2">
      <c r="B824" s="2">
        <v>1822114000</v>
      </c>
      <c r="C824" t="s">
        <v>47</v>
      </c>
    </row>
    <row r="825" spans="2:3" hidden="1" x14ac:dyDescent="0.2">
      <c r="B825" s="2">
        <v>793373000</v>
      </c>
      <c r="C825" t="s">
        <v>52</v>
      </c>
    </row>
    <row r="826" spans="2:3" hidden="1" x14ac:dyDescent="0.2">
      <c r="B826" s="2">
        <v>861527000</v>
      </c>
      <c r="C826" t="s">
        <v>52</v>
      </c>
    </row>
    <row r="827" spans="2:3" hidden="1" x14ac:dyDescent="0.2">
      <c r="B827" s="2">
        <v>993897000</v>
      </c>
      <c r="C827" t="s">
        <v>52</v>
      </c>
    </row>
    <row r="828" spans="2:3" hidden="1" x14ac:dyDescent="0.2">
      <c r="B828" s="2">
        <v>1166769000</v>
      </c>
      <c r="C828" t="s">
        <v>52</v>
      </c>
    </row>
    <row r="829" spans="2:3" x14ac:dyDescent="0.2">
      <c r="B829" s="17">
        <v>12416000000</v>
      </c>
      <c r="C829" s="16" t="s">
        <v>22</v>
      </c>
    </row>
    <row r="830" spans="2:3" x14ac:dyDescent="0.2">
      <c r="B830" s="17">
        <v>2918434000</v>
      </c>
      <c r="C830" s="16" t="s">
        <v>22</v>
      </c>
    </row>
    <row r="831" spans="2:3" x14ac:dyDescent="0.2">
      <c r="B831" s="17">
        <v>3142856000</v>
      </c>
      <c r="C831" s="16" t="s">
        <v>22</v>
      </c>
    </row>
    <row r="832" spans="2:3" x14ac:dyDescent="0.2">
      <c r="B832" s="17">
        <v>3275594000</v>
      </c>
      <c r="C832" s="16" t="s">
        <v>22</v>
      </c>
    </row>
    <row r="833" spans="2:3" hidden="1" x14ac:dyDescent="0.2">
      <c r="B833" s="2">
        <v>19561000000</v>
      </c>
      <c r="C833" t="s">
        <v>36</v>
      </c>
    </row>
    <row r="834" spans="2:3" hidden="1" x14ac:dyDescent="0.2">
      <c r="B834" s="2">
        <v>19724000000</v>
      </c>
      <c r="C834" t="s">
        <v>36</v>
      </c>
    </row>
    <row r="835" spans="2:3" hidden="1" x14ac:dyDescent="0.2">
      <c r="B835" s="2">
        <v>18591000000</v>
      </c>
      <c r="C835" t="s">
        <v>36</v>
      </c>
    </row>
    <row r="836" spans="2:3" hidden="1" x14ac:dyDescent="0.2">
      <c r="B836" s="2">
        <v>18202000000</v>
      </c>
      <c r="C836" t="s">
        <v>36</v>
      </c>
    </row>
    <row r="837" spans="2:3" x14ac:dyDescent="0.2">
      <c r="B837" s="17">
        <v>3418265000</v>
      </c>
      <c r="C837" s="16" t="s">
        <v>22</v>
      </c>
    </row>
    <row r="838" spans="2:3" x14ac:dyDescent="0.2">
      <c r="B838" s="17">
        <v>3797000000</v>
      </c>
      <c r="C838" s="16" t="s">
        <v>22</v>
      </c>
    </row>
    <row r="839" spans="2:3" x14ac:dyDescent="0.2">
      <c r="B839" s="17">
        <v>3575000000</v>
      </c>
      <c r="C839" s="16" t="s">
        <v>22</v>
      </c>
    </row>
    <row r="840" spans="2:3" x14ac:dyDescent="0.2">
      <c r="B840" s="17">
        <v>4515000000</v>
      </c>
      <c r="C840" s="16" t="s">
        <v>22</v>
      </c>
    </row>
    <row r="841" spans="2:3" hidden="1" x14ac:dyDescent="0.2">
      <c r="B841" s="2">
        <v>10962818000</v>
      </c>
      <c r="C841" t="s">
        <v>19</v>
      </c>
    </row>
    <row r="842" spans="2:3" hidden="1" x14ac:dyDescent="0.2">
      <c r="B842" s="2">
        <v>12574299000</v>
      </c>
      <c r="C842" t="s">
        <v>19</v>
      </c>
    </row>
    <row r="843" spans="2:3" hidden="1" x14ac:dyDescent="0.2">
      <c r="B843" s="2">
        <v>14268716000</v>
      </c>
      <c r="C843" t="s">
        <v>19</v>
      </c>
    </row>
    <row r="844" spans="2:3" hidden="1" x14ac:dyDescent="0.2">
      <c r="B844" s="2">
        <v>15149675000</v>
      </c>
      <c r="C844" t="s">
        <v>19</v>
      </c>
    </row>
    <row r="845" spans="2:3" hidden="1" x14ac:dyDescent="0.2">
      <c r="B845" s="2">
        <v>48017000000</v>
      </c>
      <c r="C845" t="s">
        <v>36</v>
      </c>
    </row>
    <row r="846" spans="2:3" hidden="1" x14ac:dyDescent="0.2">
      <c r="B846" s="2">
        <v>46854000000</v>
      </c>
      <c r="C846" t="s">
        <v>36</v>
      </c>
    </row>
    <row r="847" spans="2:3" hidden="1" x14ac:dyDescent="0.2">
      <c r="B847" s="2">
        <v>45998000000</v>
      </c>
      <c r="C847" t="s">
        <v>36</v>
      </c>
    </row>
    <row r="848" spans="2:3" hidden="1" x14ac:dyDescent="0.2">
      <c r="B848" s="2">
        <v>44294000000</v>
      </c>
      <c r="C848" t="s">
        <v>36</v>
      </c>
    </row>
    <row r="849" spans="2:3" hidden="1" x14ac:dyDescent="0.2">
      <c r="B849" s="2">
        <v>2181732000</v>
      </c>
      <c r="C849" t="s">
        <v>19</v>
      </c>
    </row>
    <row r="850" spans="2:3" hidden="1" x14ac:dyDescent="0.2">
      <c r="B850" s="2">
        <v>3310800000</v>
      </c>
      <c r="C850" t="s">
        <v>19</v>
      </c>
    </row>
    <row r="851" spans="2:3" hidden="1" x14ac:dyDescent="0.2">
      <c r="B851" s="2">
        <v>4371500000</v>
      </c>
      <c r="C851" t="s">
        <v>19</v>
      </c>
    </row>
    <row r="852" spans="2:3" hidden="1" x14ac:dyDescent="0.2">
      <c r="B852" s="2">
        <v>4712100000</v>
      </c>
      <c r="C852" t="s">
        <v>19</v>
      </c>
    </row>
    <row r="853" spans="2:3" hidden="1" x14ac:dyDescent="0.2">
      <c r="B853" s="2">
        <v>96619000000</v>
      </c>
      <c r="C853" t="s">
        <v>36</v>
      </c>
    </row>
    <row r="854" spans="2:3" hidden="1" x14ac:dyDescent="0.2">
      <c r="B854" s="2">
        <v>98375000000</v>
      </c>
      <c r="C854" t="s">
        <v>36</v>
      </c>
    </row>
    <row r="855" spans="2:3" hidden="1" x14ac:dyDescent="0.2">
      <c r="B855" s="2">
        <v>108465000000</v>
      </c>
      <c r="C855" t="s">
        <v>36</v>
      </c>
    </row>
    <row r="856" spans="2:3" hidden="1" x14ac:dyDescent="0.2">
      <c r="B856" s="2">
        <v>109830000000</v>
      </c>
      <c r="C856" t="s">
        <v>36</v>
      </c>
    </row>
    <row r="857" spans="2:3" hidden="1" x14ac:dyDescent="0.2">
      <c r="B857" s="2">
        <v>19279000000</v>
      </c>
      <c r="C857" t="s">
        <v>19</v>
      </c>
    </row>
    <row r="858" spans="2:3" hidden="1" x14ac:dyDescent="0.2">
      <c r="B858" s="2">
        <v>19031000000</v>
      </c>
      <c r="C858" t="s">
        <v>19</v>
      </c>
    </row>
    <row r="859" spans="2:3" hidden="1" x14ac:dyDescent="0.2">
      <c r="B859" s="2">
        <v>19023000000</v>
      </c>
      <c r="C859" t="s">
        <v>19</v>
      </c>
    </row>
    <row r="860" spans="2:3" hidden="1" x14ac:dyDescent="0.2">
      <c r="B860" s="2">
        <v>19204000000</v>
      </c>
      <c r="C860" t="s">
        <v>19</v>
      </c>
    </row>
    <row r="861" spans="2:3" hidden="1" x14ac:dyDescent="0.2">
      <c r="B861" s="2">
        <v>2369300000</v>
      </c>
      <c r="C861" t="s">
        <v>13</v>
      </c>
    </row>
    <row r="862" spans="2:3" hidden="1" x14ac:dyDescent="0.2">
      <c r="B862" s="2">
        <v>2577100000</v>
      </c>
      <c r="C862" t="s">
        <v>13</v>
      </c>
    </row>
    <row r="863" spans="2:3" hidden="1" x14ac:dyDescent="0.2">
      <c r="B863" s="2">
        <v>2418800000</v>
      </c>
      <c r="C863" t="s">
        <v>13</v>
      </c>
    </row>
    <row r="864" spans="2:3" hidden="1" x14ac:dyDescent="0.2">
      <c r="B864" s="2">
        <v>2334200000</v>
      </c>
      <c r="C864" t="s">
        <v>13</v>
      </c>
    </row>
    <row r="865" spans="2:3" hidden="1" x14ac:dyDescent="0.2">
      <c r="B865" s="2">
        <v>10459000000</v>
      </c>
      <c r="C865" t="s">
        <v>19</v>
      </c>
    </row>
    <row r="866" spans="2:3" hidden="1" x14ac:dyDescent="0.2">
      <c r="B866" s="2">
        <v>10773000000</v>
      </c>
      <c r="C866" t="s">
        <v>19</v>
      </c>
    </row>
    <row r="867" spans="2:3" hidden="1" x14ac:dyDescent="0.2">
      <c r="B867" s="2">
        <v>11454000000</v>
      </c>
      <c r="C867" t="s">
        <v>19</v>
      </c>
    </row>
    <row r="868" spans="2:3" hidden="1" x14ac:dyDescent="0.2">
      <c r="B868" s="2">
        <v>12154000000</v>
      </c>
      <c r="C868" t="s">
        <v>19</v>
      </c>
    </row>
    <row r="869" spans="2:3" hidden="1" x14ac:dyDescent="0.2">
      <c r="B869" s="2">
        <v>3414500000</v>
      </c>
      <c r="C869" t="s">
        <v>13</v>
      </c>
    </row>
    <row r="870" spans="2:3" hidden="1" x14ac:dyDescent="0.2">
      <c r="B870" s="2">
        <v>3477200000</v>
      </c>
      <c r="C870" t="s">
        <v>13</v>
      </c>
    </row>
    <row r="871" spans="2:3" hidden="1" x14ac:dyDescent="0.2">
      <c r="B871" s="2">
        <v>3782300000</v>
      </c>
      <c r="C871" t="s">
        <v>13</v>
      </c>
    </row>
    <row r="872" spans="2:3" hidden="1" x14ac:dyDescent="0.2">
      <c r="B872" s="2">
        <v>3917200000</v>
      </c>
      <c r="C872" t="s">
        <v>13</v>
      </c>
    </row>
    <row r="873" spans="2:3" hidden="1" x14ac:dyDescent="0.2">
      <c r="B873" s="2">
        <v>5935095000</v>
      </c>
      <c r="C873" t="s">
        <v>19</v>
      </c>
    </row>
    <row r="874" spans="2:3" hidden="1" x14ac:dyDescent="0.2">
      <c r="B874" s="2">
        <v>7779812000</v>
      </c>
      <c r="C874" t="s">
        <v>19</v>
      </c>
    </row>
    <row r="875" spans="2:3" hidden="1" x14ac:dyDescent="0.2">
      <c r="B875" s="2">
        <v>9474008000</v>
      </c>
      <c r="C875" t="s">
        <v>19</v>
      </c>
    </row>
    <row r="876" spans="2:3" hidden="1" x14ac:dyDescent="0.2">
      <c r="B876" s="2">
        <v>10949999000</v>
      </c>
      <c r="C876" t="s">
        <v>19</v>
      </c>
    </row>
    <row r="877" spans="2:3" hidden="1" x14ac:dyDescent="0.2">
      <c r="B877" s="2">
        <v>5671400000</v>
      </c>
      <c r="C877" t="s">
        <v>25</v>
      </c>
    </row>
    <row r="878" spans="2:3" hidden="1" x14ac:dyDescent="0.2">
      <c r="B878" s="2">
        <v>5808300000</v>
      </c>
      <c r="C878" t="s">
        <v>25</v>
      </c>
    </row>
    <row r="879" spans="2:3" hidden="1" x14ac:dyDescent="0.2">
      <c r="B879" s="2">
        <v>6011600000</v>
      </c>
      <c r="C879" t="s">
        <v>25</v>
      </c>
    </row>
    <row r="880" spans="2:3" hidden="1" x14ac:dyDescent="0.2">
      <c r="B880" s="2">
        <v>8680100000</v>
      </c>
      <c r="C880" t="s">
        <v>25</v>
      </c>
    </row>
    <row r="881" spans="2:3" hidden="1" x14ac:dyDescent="0.2">
      <c r="B881" s="2">
        <v>4122930000</v>
      </c>
      <c r="C881" t="s">
        <v>19</v>
      </c>
    </row>
    <row r="882" spans="2:3" hidden="1" x14ac:dyDescent="0.2">
      <c r="B882" s="2">
        <v>5062528000</v>
      </c>
      <c r="C882" t="s">
        <v>19</v>
      </c>
    </row>
    <row r="883" spans="2:3" hidden="1" x14ac:dyDescent="0.2">
      <c r="B883" s="2">
        <v>6740064000</v>
      </c>
      <c r="C883" t="s">
        <v>19</v>
      </c>
    </row>
    <row r="884" spans="2:3" hidden="1" x14ac:dyDescent="0.2">
      <c r="B884" s="2">
        <v>7192633000</v>
      </c>
      <c r="C884" t="s">
        <v>19</v>
      </c>
    </row>
    <row r="885" spans="2:3" hidden="1" x14ac:dyDescent="0.2">
      <c r="B885" s="2">
        <v>13107000000</v>
      </c>
      <c r="C885" t="s">
        <v>13</v>
      </c>
    </row>
    <row r="886" spans="2:3" hidden="1" x14ac:dyDescent="0.2">
      <c r="B886" s="2">
        <v>11420000000</v>
      </c>
      <c r="C886" t="s">
        <v>13</v>
      </c>
    </row>
    <row r="887" spans="2:3" hidden="1" x14ac:dyDescent="0.2">
      <c r="B887" s="2">
        <v>10986000000</v>
      </c>
      <c r="C887" t="s">
        <v>13</v>
      </c>
    </row>
    <row r="888" spans="2:3" hidden="1" x14ac:dyDescent="0.2">
      <c r="B888" s="2">
        <v>10466000000</v>
      </c>
      <c r="C888" t="s">
        <v>13</v>
      </c>
    </row>
    <row r="889" spans="2:3" x14ac:dyDescent="0.2">
      <c r="B889" s="17">
        <v>4396000000</v>
      </c>
      <c r="C889" s="16" t="s">
        <v>22</v>
      </c>
    </row>
    <row r="890" spans="2:3" x14ac:dyDescent="0.2">
      <c r="B890" s="17">
        <v>8257000000</v>
      </c>
      <c r="C890" s="16" t="s">
        <v>22</v>
      </c>
    </row>
    <row r="891" spans="2:3" x14ac:dyDescent="0.2">
      <c r="B891" s="17">
        <v>8790000000</v>
      </c>
      <c r="C891" s="16" t="s">
        <v>22</v>
      </c>
    </row>
    <row r="892" spans="2:3" x14ac:dyDescent="0.2">
      <c r="B892" s="17">
        <v>8592000000</v>
      </c>
      <c r="C892" s="16" t="s">
        <v>22</v>
      </c>
    </row>
    <row r="893" spans="2:3" hidden="1" x14ac:dyDescent="0.2">
      <c r="B893" s="2">
        <v>22603400000</v>
      </c>
      <c r="C893" t="s">
        <v>25</v>
      </c>
    </row>
    <row r="894" spans="2:3" hidden="1" x14ac:dyDescent="0.2">
      <c r="B894" s="2">
        <v>23113100000</v>
      </c>
      <c r="C894" t="s">
        <v>25</v>
      </c>
    </row>
    <row r="895" spans="2:3" hidden="1" x14ac:dyDescent="0.2">
      <c r="B895" s="2">
        <v>19615600000</v>
      </c>
      <c r="C895" t="s">
        <v>25</v>
      </c>
    </row>
    <row r="896" spans="2:3" hidden="1" x14ac:dyDescent="0.2">
      <c r="B896" s="2">
        <v>19958700000</v>
      </c>
      <c r="C896" t="s">
        <v>25</v>
      </c>
    </row>
    <row r="897" spans="2:3" hidden="1" x14ac:dyDescent="0.2">
      <c r="B897" s="2">
        <v>45358000000</v>
      </c>
      <c r="C897" t="s">
        <v>13</v>
      </c>
    </row>
    <row r="898" spans="2:3" hidden="1" x14ac:dyDescent="0.2">
      <c r="B898" s="2">
        <v>39946000000</v>
      </c>
      <c r="C898" t="s">
        <v>13</v>
      </c>
    </row>
    <row r="899" spans="2:3" hidden="1" x14ac:dyDescent="0.2">
      <c r="B899" s="2">
        <v>40536000000</v>
      </c>
      <c r="C899" t="s">
        <v>13</v>
      </c>
    </row>
    <row r="900" spans="2:3" hidden="1" x14ac:dyDescent="0.2">
      <c r="B900" s="2">
        <v>47248000000</v>
      </c>
      <c r="C900" t="s">
        <v>13</v>
      </c>
    </row>
    <row r="901" spans="2:3" hidden="1" x14ac:dyDescent="0.2">
      <c r="B901" s="2">
        <v>3094500000</v>
      </c>
      <c r="C901" t="s">
        <v>42</v>
      </c>
    </row>
    <row r="902" spans="2:3" hidden="1" x14ac:dyDescent="0.2">
      <c r="B902" s="2">
        <v>3276800000</v>
      </c>
      <c r="C902" t="s">
        <v>42</v>
      </c>
    </row>
    <row r="903" spans="2:3" hidden="1" x14ac:dyDescent="0.2">
      <c r="B903" s="2">
        <v>3350300000</v>
      </c>
      <c r="C903" t="s">
        <v>42</v>
      </c>
    </row>
    <row r="904" spans="2:3" hidden="1" x14ac:dyDescent="0.2">
      <c r="B904" s="2">
        <v>3253600000</v>
      </c>
      <c r="C904" t="s">
        <v>42</v>
      </c>
    </row>
    <row r="905" spans="2:3" hidden="1" x14ac:dyDescent="0.2">
      <c r="B905" s="2">
        <v>50521000000</v>
      </c>
      <c r="C905" t="s">
        <v>19</v>
      </c>
    </row>
    <row r="906" spans="2:3" hidden="1" x14ac:dyDescent="0.2">
      <c r="B906" s="2">
        <v>53417000000</v>
      </c>
      <c r="C906" t="s">
        <v>19</v>
      </c>
    </row>
    <row r="907" spans="2:3" hidden="1" x14ac:dyDescent="0.2">
      <c r="B907" s="2">
        <v>56223000000</v>
      </c>
      <c r="C907" t="s">
        <v>19</v>
      </c>
    </row>
    <row r="908" spans="2:3" hidden="1" x14ac:dyDescent="0.2">
      <c r="B908" s="2">
        <v>59074000000</v>
      </c>
      <c r="C908" t="s">
        <v>19</v>
      </c>
    </row>
    <row r="909" spans="2:3" x14ac:dyDescent="0.2">
      <c r="B909" s="17">
        <v>8979000000</v>
      </c>
      <c r="C909" s="16" t="s">
        <v>22</v>
      </c>
    </row>
    <row r="910" spans="2:3" x14ac:dyDescent="0.2">
      <c r="B910" s="17">
        <v>7872000000</v>
      </c>
      <c r="C910" s="16" t="s">
        <v>22</v>
      </c>
    </row>
    <row r="911" spans="2:3" x14ac:dyDescent="0.2">
      <c r="B911" s="17">
        <v>12466000000</v>
      </c>
      <c r="C911" s="16" t="s">
        <v>22</v>
      </c>
    </row>
    <row r="912" spans="2:3" x14ac:dyDescent="0.2">
      <c r="B912" s="17">
        <v>17928000000</v>
      </c>
      <c r="C912" s="16" t="s">
        <v>22</v>
      </c>
    </row>
    <row r="913" spans="2:3" hidden="1" x14ac:dyDescent="0.2">
      <c r="B913" s="2">
        <v>7810610000</v>
      </c>
      <c r="C913" t="s">
        <v>47</v>
      </c>
    </row>
    <row r="914" spans="2:3" hidden="1" x14ac:dyDescent="0.2">
      <c r="B914" s="2">
        <v>9531778000</v>
      </c>
      <c r="C914" t="s">
        <v>47</v>
      </c>
    </row>
    <row r="915" spans="2:3" hidden="1" x14ac:dyDescent="0.2">
      <c r="B915" s="2">
        <v>10681897000</v>
      </c>
      <c r="C915" t="s">
        <v>47</v>
      </c>
    </row>
    <row r="916" spans="2:3" hidden="1" x14ac:dyDescent="0.2">
      <c r="B916" s="2">
        <v>10116502000</v>
      </c>
      <c r="C916" t="s">
        <v>47</v>
      </c>
    </row>
    <row r="917" spans="2:3" hidden="1" x14ac:dyDescent="0.2">
      <c r="B917" s="2">
        <v>17699000000</v>
      </c>
      <c r="C917" t="s">
        <v>13</v>
      </c>
    </row>
    <row r="918" spans="2:3" hidden="1" x14ac:dyDescent="0.2">
      <c r="B918" s="2">
        <v>18605000000</v>
      </c>
      <c r="C918" t="s">
        <v>13</v>
      </c>
    </row>
    <row r="919" spans="2:3" hidden="1" x14ac:dyDescent="0.2">
      <c r="B919" s="2">
        <v>19820000000</v>
      </c>
      <c r="C919" t="s">
        <v>13</v>
      </c>
    </row>
    <row r="920" spans="2:3" hidden="1" x14ac:dyDescent="0.2">
      <c r="B920" s="2">
        <v>20425000000</v>
      </c>
      <c r="C920" t="s">
        <v>13</v>
      </c>
    </row>
    <row r="921" spans="2:3" hidden="1" x14ac:dyDescent="0.2">
      <c r="B921" s="2">
        <v>6376000000</v>
      </c>
      <c r="C921" t="s">
        <v>182</v>
      </c>
    </row>
    <row r="922" spans="2:3" hidden="1" x14ac:dyDescent="0.2">
      <c r="B922" s="2">
        <v>6313000000</v>
      </c>
      <c r="C922" t="s">
        <v>182</v>
      </c>
    </row>
    <row r="923" spans="2:3" hidden="1" x14ac:dyDescent="0.2">
      <c r="B923" s="2">
        <v>6777000000</v>
      </c>
      <c r="C923" t="s">
        <v>182</v>
      </c>
    </row>
    <row r="924" spans="2:3" hidden="1" x14ac:dyDescent="0.2">
      <c r="B924" s="2">
        <v>8229000000</v>
      </c>
      <c r="C924" t="s">
        <v>182</v>
      </c>
    </row>
    <row r="925" spans="2:3" hidden="1" x14ac:dyDescent="0.2">
      <c r="B925" s="2">
        <v>45352000000</v>
      </c>
      <c r="C925" t="s">
        <v>59</v>
      </c>
    </row>
    <row r="926" spans="2:3" hidden="1" x14ac:dyDescent="0.2">
      <c r="B926" s="2">
        <v>44062000000</v>
      </c>
      <c r="C926" t="s">
        <v>59</v>
      </c>
    </row>
    <row r="927" spans="2:3" hidden="1" x14ac:dyDescent="0.2">
      <c r="B927" s="2">
        <v>45608000000</v>
      </c>
      <c r="C927" t="s">
        <v>59</v>
      </c>
    </row>
    <row r="928" spans="2:3" hidden="1" x14ac:dyDescent="0.2">
      <c r="B928" s="2">
        <v>32735000000</v>
      </c>
      <c r="C928" t="s">
        <v>59</v>
      </c>
    </row>
    <row r="929" spans="2:3" hidden="1" x14ac:dyDescent="0.2">
      <c r="B929" s="2">
        <v>27686000000</v>
      </c>
      <c r="C929" t="s">
        <v>19</v>
      </c>
    </row>
    <row r="930" spans="2:3" hidden="1" x14ac:dyDescent="0.2">
      <c r="B930" s="2">
        <v>27931000000</v>
      </c>
      <c r="C930" t="s">
        <v>19</v>
      </c>
    </row>
    <row r="931" spans="2:3" hidden="1" x14ac:dyDescent="0.2">
      <c r="B931" s="2">
        <v>28105000000</v>
      </c>
      <c r="C931" t="s">
        <v>19</v>
      </c>
    </row>
    <row r="932" spans="2:3" hidden="1" x14ac:dyDescent="0.2">
      <c r="B932" s="2">
        <v>27079000000</v>
      </c>
      <c r="C932" t="s">
        <v>19</v>
      </c>
    </row>
    <row r="933" spans="2:3" x14ac:dyDescent="0.2">
      <c r="B933" s="17">
        <v>27638000000</v>
      </c>
      <c r="C933" s="16" t="s">
        <v>22</v>
      </c>
    </row>
    <row r="934" spans="2:3" x14ac:dyDescent="0.2">
      <c r="B934" s="17">
        <v>1481314000</v>
      </c>
      <c r="C934" s="16" t="s">
        <v>22</v>
      </c>
    </row>
    <row r="935" spans="2:3" x14ac:dyDescent="0.2">
      <c r="B935" s="17">
        <v>1732046000</v>
      </c>
      <c r="C935" s="16" t="s">
        <v>22</v>
      </c>
    </row>
    <row r="936" spans="2:3" x14ac:dyDescent="0.2">
      <c r="B936" s="17">
        <v>1919823000</v>
      </c>
      <c r="C936" s="16" t="s">
        <v>22</v>
      </c>
    </row>
    <row r="937" spans="2:3" hidden="1" x14ac:dyDescent="0.2">
      <c r="B937" s="2">
        <v>475888000</v>
      </c>
      <c r="C937" t="s">
        <v>52</v>
      </c>
    </row>
    <row r="938" spans="2:3" hidden="1" x14ac:dyDescent="0.2">
      <c r="B938" s="2">
        <v>635490000</v>
      </c>
      <c r="C938" t="s">
        <v>52</v>
      </c>
    </row>
    <row r="939" spans="2:3" hidden="1" x14ac:dyDescent="0.2">
      <c r="B939" s="2">
        <v>992332000</v>
      </c>
      <c r="C939" t="s">
        <v>52</v>
      </c>
    </row>
    <row r="940" spans="2:3" hidden="1" x14ac:dyDescent="0.2">
      <c r="B940" s="2">
        <v>1042779000</v>
      </c>
      <c r="C940" t="s">
        <v>52</v>
      </c>
    </row>
    <row r="941" spans="2:3" hidden="1" x14ac:dyDescent="0.2">
      <c r="B941" s="2">
        <v>797517000</v>
      </c>
      <c r="C941" t="s">
        <v>52</v>
      </c>
    </row>
    <row r="942" spans="2:3" hidden="1" x14ac:dyDescent="0.2">
      <c r="B942" s="2">
        <v>1029475000</v>
      </c>
      <c r="C942" t="s">
        <v>52</v>
      </c>
    </row>
    <row r="943" spans="2:3" hidden="1" x14ac:dyDescent="0.2">
      <c r="B943" s="2">
        <v>1105247000</v>
      </c>
      <c r="C943" t="s">
        <v>52</v>
      </c>
    </row>
    <row r="944" spans="2:3" hidden="1" x14ac:dyDescent="0.2">
      <c r="B944" s="2">
        <v>1288149000</v>
      </c>
      <c r="C944" t="s">
        <v>52</v>
      </c>
    </row>
    <row r="945" spans="2:3" hidden="1" x14ac:dyDescent="0.2">
      <c r="B945" s="2">
        <v>11814000000</v>
      </c>
      <c r="C945" t="s">
        <v>19</v>
      </c>
    </row>
    <row r="946" spans="2:3" hidden="1" x14ac:dyDescent="0.2">
      <c r="B946" s="2">
        <v>12784000000</v>
      </c>
      <c r="C946" t="s">
        <v>19</v>
      </c>
    </row>
    <row r="947" spans="2:3" hidden="1" x14ac:dyDescent="0.2">
      <c r="B947" s="2">
        <v>13796000000</v>
      </c>
      <c r="C947" t="s">
        <v>19</v>
      </c>
    </row>
    <row r="948" spans="2:3" hidden="1" x14ac:dyDescent="0.2">
      <c r="B948" s="2">
        <v>14486000000</v>
      </c>
      <c r="C948" t="s">
        <v>19</v>
      </c>
    </row>
    <row r="949" spans="2:3" hidden="1" x14ac:dyDescent="0.2">
      <c r="B949" s="2">
        <v>6761000000</v>
      </c>
      <c r="C949" t="s">
        <v>13</v>
      </c>
    </row>
    <row r="950" spans="2:3" hidden="1" x14ac:dyDescent="0.2">
      <c r="B950" s="2">
        <v>7006000000</v>
      </c>
      <c r="C950" t="s">
        <v>13</v>
      </c>
    </row>
    <row r="951" spans="2:3" hidden="1" x14ac:dyDescent="0.2">
      <c r="B951" s="2">
        <v>7142000000</v>
      </c>
      <c r="C951" t="s">
        <v>13</v>
      </c>
    </row>
    <row r="952" spans="2:3" hidden="1" x14ac:dyDescent="0.2">
      <c r="B952" s="2">
        <v>7357000000</v>
      </c>
      <c r="C952" t="s">
        <v>13</v>
      </c>
    </row>
    <row r="953" spans="2:3" hidden="1" x14ac:dyDescent="0.2">
      <c r="B953" s="2">
        <v>6420881000</v>
      </c>
      <c r="C953" t="s">
        <v>19</v>
      </c>
    </row>
    <row r="954" spans="2:3" hidden="1" x14ac:dyDescent="0.2">
      <c r="B954" s="2">
        <v>6484892000</v>
      </c>
      <c r="C954" t="s">
        <v>19</v>
      </c>
    </row>
    <row r="955" spans="2:3" hidden="1" x14ac:dyDescent="0.2">
      <c r="B955" s="2">
        <v>6023819000</v>
      </c>
      <c r="C955" t="s">
        <v>19</v>
      </c>
    </row>
    <row r="956" spans="2:3" hidden="1" x14ac:dyDescent="0.2">
      <c r="B956" s="2">
        <v>5702613000</v>
      </c>
      <c r="C956" t="s">
        <v>19</v>
      </c>
    </row>
    <row r="957" spans="2:3" hidden="1" x14ac:dyDescent="0.2">
      <c r="B957" s="2">
        <v>27567000000</v>
      </c>
      <c r="C957" t="s">
        <v>19</v>
      </c>
    </row>
    <row r="958" spans="2:3" hidden="1" x14ac:dyDescent="0.2">
      <c r="B958" s="2">
        <v>28105700000</v>
      </c>
      <c r="C958" t="s">
        <v>19</v>
      </c>
    </row>
    <row r="959" spans="2:3" hidden="1" x14ac:dyDescent="0.2">
      <c r="B959" s="2">
        <v>27441300000</v>
      </c>
      <c r="C959" t="s">
        <v>19</v>
      </c>
    </row>
    <row r="960" spans="2:3" hidden="1" x14ac:dyDescent="0.2">
      <c r="B960" s="2">
        <v>25413000000</v>
      </c>
      <c r="C960" t="s">
        <v>19</v>
      </c>
    </row>
    <row r="961" spans="2:3" x14ac:dyDescent="0.2">
      <c r="B961" s="17">
        <v>1995034000</v>
      </c>
      <c r="C961" s="16" t="s">
        <v>22</v>
      </c>
    </row>
    <row r="962" spans="2:3" x14ac:dyDescent="0.2">
      <c r="B962" s="17">
        <v>5795800000</v>
      </c>
      <c r="C962" s="16" t="s">
        <v>22</v>
      </c>
    </row>
    <row r="963" spans="2:3" x14ac:dyDescent="0.2">
      <c r="B963" s="17">
        <v>6063400000</v>
      </c>
      <c r="C963" s="16" t="s">
        <v>22</v>
      </c>
    </row>
    <row r="964" spans="2:3" x14ac:dyDescent="0.2">
      <c r="B964" s="17">
        <v>6413800000</v>
      </c>
      <c r="C964" s="16" t="s">
        <v>22</v>
      </c>
    </row>
    <row r="965" spans="2:3" hidden="1" x14ac:dyDescent="0.2">
      <c r="B965" s="2">
        <v>122196000000</v>
      </c>
      <c r="C965" t="s">
        <v>25</v>
      </c>
    </row>
    <row r="966" spans="2:3" hidden="1" x14ac:dyDescent="0.2">
      <c r="B966" s="2">
        <v>137392000000</v>
      </c>
      <c r="C966" t="s">
        <v>25</v>
      </c>
    </row>
    <row r="967" spans="2:3" hidden="1" x14ac:dyDescent="0.2">
      <c r="B967" s="2">
        <v>179045000000</v>
      </c>
      <c r="C967" t="s">
        <v>25</v>
      </c>
    </row>
    <row r="968" spans="2:3" hidden="1" x14ac:dyDescent="0.2">
      <c r="B968" s="2">
        <v>190884000000</v>
      </c>
      <c r="C968" t="s">
        <v>25</v>
      </c>
    </row>
    <row r="969" spans="2:3" hidden="1" x14ac:dyDescent="0.2">
      <c r="B969" s="2">
        <v>2730300000</v>
      </c>
      <c r="C969" t="s">
        <v>47</v>
      </c>
    </row>
    <row r="970" spans="2:3" hidden="1" x14ac:dyDescent="0.2">
      <c r="B970" s="2">
        <v>2972500000</v>
      </c>
      <c r="C970" t="s">
        <v>47</v>
      </c>
    </row>
    <row r="971" spans="2:3" hidden="1" x14ac:dyDescent="0.2">
      <c r="B971" s="2">
        <v>3334300000</v>
      </c>
      <c r="C971" t="s">
        <v>47</v>
      </c>
    </row>
    <row r="972" spans="2:3" hidden="1" x14ac:dyDescent="0.2">
      <c r="B972" s="2">
        <v>3484500000</v>
      </c>
      <c r="C972" t="s">
        <v>47</v>
      </c>
    </row>
    <row r="973" spans="2:3" hidden="1" x14ac:dyDescent="0.2">
      <c r="B973" s="2">
        <v>35015000000</v>
      </c>
      <c r="C973" t="s">
        <v>36</v>
      </c>
    </row>
    <row r="974" spans="2:3" hidden="1" x14ac:dyDescent="0.2">
      <c r="B974" s="2">
        <v>35299000000</v>
      </c>
      <c r="C974" t="s">
        <v>36</v>
      </c>
    </row>
    <row r="975" spans="2:3" hidden="1" x14ac:dyDescent="0.2">
      <c r="B975" s="2">
        <v>34244000000</v>
      </c>
      <c r="C975" t="s">
        <v>36</v>
      </c>
    </row>
    <row r="976" spans="2:3" hidden="1" x14ac:dyDescent="0.2">
      <c r="B976" s="2">
        <v>29636000000</v>
      </c>
      <c r="C976" t="s">
        <v>36</v>
      </c>
    </row>
    <row r="977" spans="2:3" hidden="1" x14ac:dyDescent="0.2">
      <c r="B977" s="2">
        <v>68150000000</v>
      </c>
      <c r="C977" t="s">
        <v>47</v>
      </c>
    </row>
    <row r="978" spans="2:3" hidden="1" x14ac:dyDescent="0.2">
      <c r="B978" s="2">
        <v>68199000000</v>
      </c>
      <c r="C978" t="s">
        <v>47</v>
      </c>
    </row>
    <row r="979" spans="2:3" hidden="1" x14ac:dyDescent="0.2">
      <c r="B979" s="2">
        <v>73316000000</v>
      </c>
      <c r="C979" t="s">
        <v>47</v>
      </c>
    </row>
    <row r="980" spans="2:3" hidden="1" x14ac:dyDescent="0.2">
      <c r="B980" s="2">
        <v>69951000000</v>
      </c>
      <c r="C980" t="s">
        <v>47</v>
      </c>
    </row>
    <row r="981" spans="2:3" hidden="1" x14ac:dyDescent="0.2">
      <c r="B981" s="2">
        <v>5787980000</v>
      </c>
      <c r="C981" t="s">
        <v>19</v>
      </c>
    </row>
    <row r="982" spans="2:3" hidden="1" x14ac:dyDescent="0.2">
      <c r="B982" s="2">
        <v>7348754000</v>
      </c>
      <c r="C982" t="s">
        <v>19</v>
      </c>
    </row>
    <row r="983" spans="2:3" hidden="1" x14ac:dyDescent="0.2">
      <c r="B983" s="2">
        <v>7803446000</v>
      </c>
      <c r="C983" t="s">
        <v>19</v>
      </c>
    </row>
    <row r="984" spans="2:3" hidden="1" x14ac:dyDescent="0.2">
      <c r="B984" s="2">
        <v>8071563000</v>
      </c>
      <c r="C984" t="s">
        <v>19</v>
      </c>
    </row>
    <row r="985" spans="2:3" hidden="1" x14ac:dyDescent="0.2">
      <c r="B985" s="2">
        <v>3901300000</v>
      </c>
      <c r="C985" t="s">
        <v>36</v>
      </c>
    </row>
    <row r="986" spans="2:3" hidden="1" x14ac:dyDescent="0.2">
      <c r="B986" s="2">
        <v>4200700000</v>
      </c>
      <c r="C986" t="s">
        <v>36</v>
      </c>
    </row>
    <row r="987" spans="2:3" hidden="1" x14ac:dyDescent="0.2">
      <c r="B987" s="2">
        <v>4409300000</v>
      </c>
      <c r="C987" t="s">
        <v>36</v>
      </c>
    </row>
    <row r="988" spans="2:3" hidden="1" x14ac:dyDescent="0.2">
      <c r="B988" s="2">
        <v>4071300000</v>
      </c>
      <c r="C988" t="s">
        <v>36</v>
      </c>
    </row>
    <row r="989" spans="2:3" hidden="1" x14ac:dyDescent="0.2">
      <c r="B989" s="2">
        <v>4123400000</v>
      </c>
      <c r="C989" t="s">
        <v>36</v>
      </c>
    </row>
    <row r="990" spans="2:3" hidden="1" x14ac:dyDescent="0.2">
      <c r="B990" s="2">
        <v>4243200000</v>
      </c>
      <c r="C990" t="s">
        <v>36</v>
      </c>
    </row>
    <row r="991" spans="2:3" hidden="1" x14ac:dyDescent="0.2">
      <c r="B991" s="2">
        <v>4296300000</v>
      </c>
      <c r="C991" t="s">
        <v>36</v>
      </c>
    </row>
    <row r="992" spans="2:3" hidden="1" x14ac:dyDescent="0.2">
      <c r="B992" s="2">
        <v>4411500000</v>
      </c>
      <c r="C992" t="s">
        <v>36</v>
      </c>
    </row>
    <row r="993" spans="2:3" hidden="1" x14ac:dyDescent="0.2">
      <c r="B993" s="2">
        <v>2031901000</v>
      </c>
      <c r="C993" t="s">
        <v>59</v>
      </c>
    </row>
    <row r="994" spans="2:3" hidden="1" x14ac:dyDescent="0.2">
      <c r="B994" s="2">
        <v>2155551000</v>
      </c>
      <c r="C994" t="s">
        <v>59</v>
      </c>
    </row>
    <row r="995" spans="2:3" hidden="1" x14ac:dyDescent="0.2">
      <c r="B995" s="2">
        <v>2957951000</v>
      </c>
      <c r="C995" t="s">
        <v>59</v>
      </c>
    </row>
    <row r="996" spans="2:3" hidden="1" x14ac:dyDescent="0.2">
      <c r="B996" s="2">
        <v>3539570000</v>
      </c>
      <c r="C996" t="s">
        <v>59</v>
      </c>
    </row>
    <row r="997" spans="2:3" hidden="1" x14ac:dyDescent="0.2">
      <c r="B997" s="2">
        <v>11924000000</v>
      </c>
      <c r="C997" t="s">
        <v>47</v>
      </c>
    </row>
    <row r="998" spans="2:3" hidden="1" x14ac:dyDescent="0.2">
      <c r="B998" s="2">
        <v>12261000000</v>
      </c>
      <c r="C998" t="s">
        <v>47</v>
      </c>
    </row>
    <row r="999" spans="2:3" hidden="1" x14ac:dyDescent="0.2">
      <c r="B999" s="2">
        <v>12951000000</v>
      </c>
      <c r="C999" t="s">
        <v>47</v>
      </c>
    </row>
    <row r="1000" spans="2:3" hidden="1" x14ac:dyDescent="0.2">
      <c r="B1000" s="2">
        <v>12893000000</v>
      </c>
      <c r="C1000" t="s">
        <v>47</v>
      </c>
    </row>
    <row r="1001" spans="2:3" hidden="1" x14ac:dyDescent="0.2">
      <c r="B1001" s="2">
        <v>30871000000</v>
      </c>
      <c r="C1001" t="s">
        <v>13</v>
      </c>
    </row>
    <row r="1002" spans="2:3" hidden="1" x14ac:dyDescent="0.2">
      <c r="B1002" s="2">
        <v>31821000000</v>
      </c>
      <c r="C1002" t="s">
        <v>13</v>
      </c>
    </row>
    <row r="1003" spans="2:3" hidden="1" x14ac:dyDescent="0.2">
      <c r="B1003" s="2">
        <v>30274000000</v>
      </c>
      <c r="C1003" t="s">
        <v>13</v>
      </c>
    </row>
    <row r="1004" spans="2:3" hidden="1" x14ac:dyDescent="0.2">
      <c r="B1004" s="2">
        <v>30109000000</v>
      </c>
      <c r="C1004" t="s">
        <v>13</v>
      </c>
    </row>
    <row r="1005" spans="2:3" hidden="1" x14ac:dyDescent="0.2">
      <c r="B1005" s="2">
        <v>2060702000</v>
      </c>
      <c r="C1005" t="s">
        <v>36</v>
      </c>
    </row>
    <row r="1006" spans="2:3" hidden="1" x14ac:dyDescent="0.2">
      <c r="B1006" s="2">
        <v>2246428000</v>
      </c>
      <c r="C1006" t="s">
        <v>36</v>
      </c>
    </row>
    <row r="1007" spans="2:3" hidden="1" x14ac:dyDescent="0.2">
      <c r="B1007" s="2">
        <v>2464867000</v>
      </c>
      <c r="C1007" t="s">
        <v>36</v>
      </c>
    </row>
    <row r="1008" spans="2:3" hidden="1" x14ac:dyDescent="0.2">
      <c r="B1008" s="2">
        <v>2722564000</v>
      </c>
      <c r="C1008" t="s">
        <v>36</v>
      </c>
    </row>
    <row r="1009" spans="2:3" hidden="1" x14ac:dyDescent="0.2">
      <c r="B1009" s="2">
        <v>24618000000</v>
      </c>
      <c r="C1009" t="s">
        <v>36</v>
      </c>
    </row>
    <row r="1010" spans="2:3" hidden="1" x14ac:dyDescent="0.2">
      <c r="B1010" s="2">
        <v>24466000000</v>
      </c>
      <c r="C1010" t="s">
        <v>36</v>
      </c>
    </row>
    <row r="1011" spans="2:3" hidden="1" x14ac:dyDescent="0.2">
      <c r="B1011" s="2">
        <v>24522000000</v>
      </c>
      <c r="C1011" t="s">
        <v>36</v>
      </c>
    </row>
    <row r="1012" spans="2:3" hidden="1" x14ac:dyDescent="0.2">
      <c r="B1012" s="2">
        <v>25434000000</v>
      </c>
      <c r="C1012" t="s">
        <v>36</v>
      </c>
    </row>
    <row r="1013" spans="2:3" hidden="1" x14ac:dyDescent="0.2">
      <c r="B1013" s="2">
        <v>14861000000</v>
      </c>
      <c r="C1013" t="s">
        <v>59</v>
      </c>
    </row>
    <row r="1014" spans="2:3" hidden="1" x14ac:dyDescent="0.2">
      <c r="B1014" s="2">
        <v>15855000000</v>
      </c>
      <c r="C1014" t="s">
        <v>59</v>
      </c>
    </row>
    <row r="1015" spans="2:3" hidden="1" x14ac:dyDescent="0.2">
      <c r="B1015" s="2">
        <v>15001000000</v>
      </c>
      <c r="C1015" t="s">
        <v>59</v>
      </c>
    </row>
    <row r="1016" spans="2:3" hidden="1" x14ac:dyDescent="0.2">
      <c r="B1016" s="2">
        <v>13502000000</v>
      </c>
      <c r="C1016" t="s">
        <v>59</v>
      </c>
    </row>
    <row r="1017" spans="2:3" hidden="1" x14ac:dyDescent="0.2">
      <c r="B1017" s="2">
        <v>9974100000</v>
      </c>
      <c r="C1017" t="s">
        <v>59</v>
      </c>
    </row>
    <row r="1018" spans="2:3" hidden="1" x14ac:dyDescent="0.2">
      <c r="B1018" s="2">
        <v>9055800000</v>
      </c>
      <c r="C1018" t="s">
        <v>59</v>
      </c>
    </row>
    <row r="1019" spans="2:3" hidden="1" x14ac:dyDescent="0.2">
      <c r="B1019" s="2">
        <v>8895300000</v>
      </c>
      <c r="C1019" t="s">
        <v>59</v>
      </c>
    </row>
    <row r="1020" spans="2:3" hidden="1" x14ac:dyDescent="0.2">
      <c r="B1020" s="2">
        <v>7162800000</v>
      </c>
      <c r="C1020" t="s">
        <v>59</v>
      </c>
    </row>
    <row r="1021" spans="2:3" x14ac:dyDescent="0.2">
      <c r="B1021" s="17">
        <v>6595200000</v>
      </c>
      <c r="C1021" s="16" t="s">
        <v>22</v>
      </c>
    </row>
    <row r="1022" spans="2:3" x14ac:dyDescent="0.2">
      <c r="B1022" s="17">
        <v>4436000000</v>
      </c>
      <c r="C1022" s="16" t="s">
        <v>22</v>
      </c>
    </row>
    <row r="1023" spans="2:3" x14ac:dyDescent="0.2">
      <c r="B1023" s="17">
        <v>4814000000</v>
      </c>
      <c r="C1023" s="16" t="s">
        <v>22</v>
      </c>
    </row>
    <row r="1024" spans="2:3" x14ac:dyDescent="0.2">
      <c r="B1024" s="17">
        <v>5066000000</v>
      </c>
      <c r="C1024" s="16" t="s">
        <v>22</v>
      </c>
    </row>
    <row r="1025" spans="2:3" hidden="1" x14ac:dyDescent="0.2">
      <c r="B1025" s="2">
        <v>47267000000</v>
      </c>
      <c r="C1025" t="s">
        <v>25</v>
      </c>
    </row>
    <row r="1026" spans="2:3" hidden="1" x14ac:dyDescent="0.2">
      <c r="B1026" s="2">
        <v>44033000000</v>
      </c>
      <c r="C1026" t="s">
        <v>25</v>
      </c>
    </row>
    <row r="1027" spans="2:3" hidden="1" x14ac:dyDescent="0.2">
      <c r="B1027" s="2">
        <v>42237000000</v>
      </c>
      <c r="C1027" t="s">
        <v>25</v>
      </c>
    </row>
    <row r="1028" spans="2:3" hidden="1" x14ac:dyDescent="0.2">
      <c r="B1028" s="2">
        <v>39498000000</v>
      </c>
      <c r="C1028" t="s">
        <v>25</v>
      </c>
    </row>
    <row r="1029" spans="2:3" x14ac:dyDescent="0.2">
      <c r="B1029" s="17">
        <v>5254000000</v>
      </c>
      <c r="C1029" s="16" t="s">
        <v>22</v>
      </c>
    </row>
    <row r="1030" spans="2:3" x14ac:dyDescent="0.2">
      <c r="B1030" s="17">
        <v>1405358000</v>
      </c>
      <c r="C1030" s="16" t="s">
        <v>22</v>
      </c>
    </row>
    <row r="1031" spans="2:3" x14ac:dyDescent="0.2">
      <c r="B1031" s="17">
        <v>1496372000</v>
      </c>
      <c r="C1031" s="16" t="s">
        <v>22</v>
      </c>
    </row>
    <row r="1032" spans="2:3" x14ac:dyDescent="0.2">
      <c r="B1032" s="17">
        <v>1530654000</v>
      </c>
      <c r="C1032" s="16" t="s">
        <v>22</v>
      </c>
    </row>
    <row r="1033" spans="2:3" x14ac:dyDescent="0.2">
      <c r="B1033" s="17">
        <v>1557067000</v>
      </c>
      <c r="C1033" s="16" t="s">
        <v>22</v>
      </c>
    </row>
    <row r="1034" spans="2:3" x14ac:dyDescent="0.2">
      <c r="B1034" s="17">
        <v>3368545000</v>
      </c>
      <c r="C1034" s="16" t="s">
        <v>22</v>
      </c>
    </row>
    <row r="1035" spans="2:3" x14ac:dyDescent="0.2">
      <c r="B1035" s="17">
        <v>3309616000</v>
      </c>
      <c r="C1035" s="16" t="s">
        <v>22</v>
      </c>
    </row>
    <row r="1036" spans="2:3" x14ac:dyDescent="0.2">
      <c r="B1036" s="17">
        <v>3391187000</v>
      </c>
      <c r="C1036" s="16" t="s">
        <v>22</v>
      </c>
    </row>
    <row r="1037" spans="2:3" hidden="1" x14ac:dyDescent="0.2">
      <c r="B1037" s="2">
        <v>4608955000</v>
      </c>
      <c r="C1037" t="s">
        <v>47</v>
      </c>
    </row>
    <row r="1038" spans="2:3" hidden="1" x14ac:dyDescent="0.2">
      <c r="B1038" s="2">
        <v>4822539000</v>
      </c>
      <c r="C1038" t="s">
        <v>47</v>
      </c>
    </row>
    <row r="1039" spans="2:3" hidden="1" x14ac:dyDescent="0.2">
      <c r="B1039" s="2">
        <v>4736150000</v>
      </c>
      <c r="C1039" t="s">
        <v>47</v>
      </c>
    </row>
    <row r="1040" spans="2:3" hidden="1" x14ac:dyDescent="0.2">
      <c r="B1040" s="2">
        <v>4995881000</v>
      </c>
      <c r="C1040" t="s">
        <v>47</v>
      </c>
    </row>
    <row r="1041" spans="2:3" hidden="1" x14ac:dyDescent="0.2">
      <c r="B1041" s="2">
        <v>2378972000</v>
      </c>
      <c r="C1041" t="s">
        <v>25</v>
      </c>
    </row>
    <row r="1042" spans="2:3" hidden="1" x14ac:dyDescent="0.2">
      <c r="B1042" s="2">
        <v>2485983000</v>
      </c>
      <c r="C1042" t="s">
        <v>25</v>
      </c>
    </row>
    <row r="1043" spans="2:3" hidden="1" x14ac:dyDescent="0.2">
      <c r="B1043" s="2">
        <v>2395447000</v>
      </c>
      <c r="C1043" t="s">
        <v>25</v>
      </c>
    </row>
    <row r="1044" spans="2:3" hidden="1" x14ac:dyDescent="0.2">
      <c r="B1044" s="2">
        <v>2508257000</v>
      </c>
      <c r="C1044" t="s">
        <v>25</v>
      </c>
    </row>
    <row r="1045" spans="2:3" x14ac:dyDescent="0.2">
      <c r="B1045" s="17">
        <v>3578995000</v>
      </c>
      <c r="C1045" s="16" t="s">
        <v>22</v>
      </c>
    </row>
    <row r="1046" spans="2:3" x14ac:dyDescent="0.2">
      <c r="B1046" s="17">
        <v>7819000000</v>
      </c>
      <c r="C1046" s="16" t="s">
        <v>22</v>
      </c>
    </row>
    <row r="1047" spans="2:3" x14ac:dyDescent="0.2">
      <c r="B1047" s="17">
        <v>9715000000</v>
      </c>
      <c r="C1047" s="16" t="s">
        <v>22</v>
      </c>
    </row>
    <row r="1048" spans="2:3" x14ac:dyDescent="0.2">
      <c r="B1048" s="17">
        <v>9111000000</v>
      </c>
      <c r="C1048" s="16" t="s">
        <v>22</v>
      </c>
    </row>
    <row r="1049" spans="2:3" x14ac:dyDescent="0.2">
      <c r="B1049" s="17">
        <v>9390000000</v>
      </c>
      <c r="C1049" s="16" t="s">
        <v>22</v>
      </c>
    </row>
    <row r="1050" spans="2:3" x14ac:dyDescent="0.2">
      <c r="B1050" s="17">
        <v>2375923000</v>
      </c>
      <c r="C1050" s="16" t="s">
        <v>22</v>
      </c>
    </row>
    <row r="1051" spans="2:3" x14ac:dyDescent="0.2">
      <c r="B1051" s="17">
        <v>2554236000</v>
      </c>
      <c r="C1051" s="16" t="s">
        <v>22</v>
      </c>
    </row>
    <row r="1052" spans="2:3" x14ac:dyDescent="0.2">
      <c r="B1052" s="17">
        <v>2773718000</v>
      </c>
      <c r="C1052" s="16" t="s">
        <v>22</v>
      </c>
    </row>
    <row r="1053" spans="2:3" hidden="1" x14ac:dyDescent="0.2">
      <c r="B1053" s="2">
        <v>7719600000</v>
      </c>
      <c r="C1053" t="s">
        <v>25</v>
      </c>
    </row>
    <row r="1054" spans="2:3" hidden="1" x14ac:dyDescent="0.2">
      <c r="B1054" s="2">
        <v>9429300000</v>
      </c>
      <c r="C1054" t="s">
        <v>25</v>
      </c>
    </row>
    <row r="1055" spans="2:3" x14ac:dyDescent="0.2">
      <c r="B1055" s="17">
        <v>2898150000</v>
      </c>
      <c r="C1055" s="16" t="s">
        <v>22</v>
      </c>
    </row>
    <row r="1056" spans="2:3" x14ac:dyDescent="0.2">
      <c r="B1056" s="17">
        <v>55123000000</v>
      </c>
      <c r="C1056" s="16" t="s">
        <v>22</v>
      </c>
    </row>
    <row r="1057" spans="2:3" x14ac:dyDescent="0.2">
      <c r="B1057" s="17">
        <v>52107000000</v>
      </c>
      <c r="C1057" s="16" t="s">
        <v>22</v>
      </c>
    </row>
    <row r="1058" spans="2:3" x14ac:dyDescent="0.2">
      <c r="B1058" s="17">
        <v>50123000000</v>
      </c>
      <c r="C1058" s="16" t="s">
        <v>22</v>
      </c>
    </row>
    <row r="1059" spans="2:3" hidden="1" x14ac:dyDescent="0.2">
      <c r="B1059" s="2">
        <v>3023000000</v>
      </c>
      <c r="C1059" t="s">
        <v>47</v>
      </c>
    </row>
    <row r="1060" spans="2:3" hidden="1" x14ac:dyDescent="0.2">
      <c r="B1060" s="2">
        <v>3100000000</v>
      </c>
      <c r="C1060" t="s">
        <v>47</v>
      </c>
    </row>
    <row r="1061" spans="2:3" hidden="1" x14ac:dyDescent="0.2">
      <c r="B1061" s="2">
        <v>3383000000</v>
      </c>
      <c r="C1061" t="s">
        <v>47</v>
      </c>
    </row>
    <row r="1062" spans="2:3" hidden="1" x14ac:dyDescent="0.2">
      <c r="B1062" s="2">
        <v>3292000000</v>
      </c>
      <c r="C1062" t="s">
        <v>47</v>
      </c>
    </row>
    <row r="1063" spans="2:3" hidden="1" x14ac:dyDescent="0.2">
      <c r="B1063" s="2">
        <v>14256000000</v>
      </c>
      <c r="C1063" t="s">
        <v>42</v>
      </c>
    </row>
    <row r="1064" spans="2:3" hidden="1" x14ac:dyDescent="0.2">
      <c r="B1064" s="2">
        <v>15136000000</v>
      </c>
      <c r="C1064" t="s">
        <v>42</v>
      </c>
    </row>
    <row r="1065" spans="2:3" hidden="1" x14ac:dyDescent="0.2">
      <c r="B1065" s="2">
        <v>17021000000</v>
      </c>
      <c r="C1065" t="s">
        <v>42</v>
      </c>
    </row>
    <row r="1066" spans="2:3" hidden="1" x14ac:dyDescent="0.2">
      <c r="B1066" s="2">
        <v>17486000000</v>
      </c>
      <c r="C1066" t="s">
        <v>42</v>
      </c>
    </row>
    <row r="1067" spans="2:3" hidden="1" x14ac:dyDescent="0.2">
      <c r="B1067" s="2">
        <v>9964000000</v>
      </c>
      <c r="C1067" t="s">
        <v>59</v>
      </c>
    </row>
    <row r="1068" spans="2:3" hidden="1" x14ac:dyDescent="0.2">
      <c r="B1068" s="2">
        <v>8414000000</v>
      </c>
      <c r="C1068" t="s">
        <v>59</v>
      </c>
    </row>
    <row r="1069" spans="2:3" hidden="1" x14ac:dyDescent="0.2">
      <c r="B1069" s="2">
        <v>7292000000</v>
      </c>
      <c r="C1069" t="s">
        <v>59</v>
      </c>
    </row>
    <row r="1070" spans="2:3" hidden="1" x14ac:dyDescent="0.2">
      <c r="B1070" s="2">
        <v>7729000000</v>
      </c>
      <c r="C1070" t="s">
        <v>59</v>
      </c>
    </row>
    <row r="1071" spans="2:3" x14ac:dyDescent="0.2">
      <c r="B1071" s="17">
        <v>112298000000</v>
      </c>
      <c r="C1071" s="16" t="s">
        <v>22</v>
      </c>
    </row>
    <row r="1072" spans="2:3" x14ac:dyDescent="0.2">
      <c r="B1072" s="17">
        <v>56651000000</v>
      </c>
      <c r="C1072" s="16" t="s">
        <v>22</v>
      </c>
    </row>
    <row r="1073" spans="2:3" x14ac:dyDescent="0.2">
      <c r="B1073" s="17">
        <v>51463000000</v>
      </c>
      <c r="C1073" s="16" t="s">
        <v>22</v>
      </c>
    </row>
    <row r="1074" spans="2:3" x14ac:dyDescent="0.2">
      <c r="B1074" s="17">
        <v>48238000000</v>
      </c>
      <c r="C1074" s="16" t="s">
        <v>22</v>
      </c>
    </row>
    <row r="1075" spans="2:3" x14ac:dyDescent="0.2">
      <c r="B1075" s="17">
        <v>5112000000</v>
      </c>
      <c r="C1075" s="16" t="s">
        <v>22</v>
      </c>
    </row>
    <row r="1076" spans="2:3" x14ac:dyDescent="0.2">
      <c r="B1076" s="17">
        <v>5012000000</v>
      </c>
      <c r="C1076" s="16" t="s">
        <v>22</v>
      </c>
    </row>
    <row r="1077" spans="2:3" x14ac:dyDescent="0.2">
      <c r="B1077" s="17">
        <v>5083000000</v>
      </c>
      <c r="C1077" s="16" t="s">
        <v>22</v>
      </c>
    </row>
    <row r="1078" spans="2:3" x14ac:dyDescent="0.2">
      <c r="B1078" s="17">
        <v>7467000000</v>
      </c>
      <c r="C1078" s="16" t="s">
        <v>22</v>
      </c>
    </row>
    <row r="1079" spans="2:3" hidden="1" x14ac:dyDescent="0.2">
      <c r="B1079" s="2">
        <v>25313000000</v>
      </c>
      <c r="C1079" t="s">
        <v>19</v>
      </c>
    </row>
    <row r="1080" spans="2:3" hidden="1" x14ac:dyDescent="0.2">
      <c r="B1080" s="2">
        <v>27799000000</v>
      </c>
      <c r="C1080" t="s">
        <v>19</v>
      </c>
    </row>
    <row r="1081" spans="2:3" hidden="1" x14ac:dyDescent="0.2">
      <c r="B1081" s="2">
        <v>30601000000</v>
      </c>
      <c r="C1081" t="s">
        <v>19</v>
      </c>
    </row>
    <row r="1082" spans="2:3" hidden="1" x14ac:dyDescent="0.2">
      <c r="B1082" s="2">
        <v>32376000000</v>
      </c>
      <c r="C1082" t="s">
        <v>19</v>
      </c>
    </row>
    <row r="1083" spans="2:3" hidden="1" x14ac:dyDescent="0.2">
      <c r="B1083" s="2">
        <v>5703000000</v>
      </c>
      <c r="C1083" t="s">
        <v>13</v>
      </c>
    </row>
    <row r="1084" spans="2:3" hidden="1" x14ac:dyDescent="0.2">
      <c r="B1084" s="2">
        <v>6288000000</v>
      </c>
      <c r="C1084" t="s">
        <v>13</v>
      </c>
    </row>
    <row r="1085" spans="2:3" hidden="1" x14ac:dyDescent="0.2">
      <c r="B1085" s="2">
        <v>6172000000</v>
      </c>
      <c r="C1085" t="s">
        <v>13</v>
      </c>
    </row>
    <row r="1086" spans="2:3" hidden="1" x14ac:dyDescent="0.2">
      <c r="B1086" s="2">
        <v>6309000000</v>
      </c>
      <c r="C1086" t="s">
        <v>13</v>
      </c>
    </row>
    <row r="1087" spans="2:3" x14ac:dyDescent="0.2">
      <c r="B1087" s="17">
        <v>102874000000</v>
      </c>
      <c r="C1087" s="16" t="s">
        <v>22</v>
      </c>
    </row>
    <row r="1088" spans="2:3" x14ac:dyDescent="0.2">
      <c r="B1088" s="17">
        <v>98367000000</v>
      </c>
      <c r="C1088" s="16" t="s">
        <v>22</v>
      </c>
    </row>
    <row r="1089" spans="2:3" x14ac:dyDescent="0.2">
      <c r="B1089" s="17">
        <v>92793000000</v>
      </c>
      <c r="C1089" s="16" t="s">
        <v>22</v>
      </c>
    </row>
    <row r="1090" spans="2:3" x14ac:dyDescent="0.2">
      <c r="B1090" s="17">
        <v>81741000000</v>
      </c>
      <c r="C1090" s="16" t="s">
        <v>22</v>
      </c>
    </row>
    <row r="1091" spans="2:3" hidden="1" x14ac:dyDescent="0.2">
      <c r="B1091" s="2">
        <v>11245000000</v>
      </c>
      <c r="C1091" t="s">
        <v>13</v>
      </c>
    </row>
    <row r="1092" spans="2:3" hidden="1" x14ac:dyDescent="0.2">
      <c r="B1092" s="2">
        <v>11624000000</v>
      </c>
      <c r="C1092" t="s">
        <v>13</v>
      </c>
    </row>
    <row r="1093" spans="2:3" hidden="1" x14ac:dyDescent="0.2">
      <c r="B1093" s="2">
        <v>10511000000</v>
      </c>
      <c r="C1093" t="s">
        <v>13</v>
      </c>
    </row>
    <row r="1094" spans="2:3" hidden="1" x14ac:dyDescent="0.2">
      <c r="B1094" s="2">
        <v>9888000000</v>
      </c>
      <c r="C1094" t="s">
        <v>13</v>
      </c>
    </row>
    <row r="1095" spans="2:3" x14ac:dyDescent="0.2">
      <c r="B1095" s="17">
        <v>52708000000</v>
      </c>
      <c r="C1095" s="16" t="s">
        <v>22</v>
      </c>
    </row>
    <row r="1096" spans="2:3" x14ac:dyDescent="0.2">
      <c r="B1096" s="17">
        <v>55870000000</v>
      </c>
      <c r="C1096" s="16" t="s">
        <v>22</v>
      </c>
    </row>
    <row r="1097" spans="2:3" x14ac:dyDescent="0.2">
      <c r="B1097" s="17">
        <v>55355000000</v>
      </c>
      <c r="C1097" s="16" t="s">
        <v>22</v>
      </c>
    </row>
    <row r="1098" spans="2:3" x14ac:dyDescent="0.2">
      <c r="B1098" s="17">
        <v>59387000000</v>
      </c>
      <c r="C1098" s="16" t="s">
        <v>22</v>
      </c>
    </row>
    <row r="1099" spans="2:3" hidden="1" x14ac:dyDescent="0.2">
      <c r="B1099" s="2">
        <v>19429273000</v>
      </c>
      <c r="C1099" t="s">
        <v>59</v>
      </c>
    </row>
    <row r="1100" spans="2:3" hidden="1" x14ac:dyDescent="0.2">
      <c r="B1100" s="2">
        <v>19052046000</v>
      </c>
      <c r="C1100" t="s">
        <v>59</v>
      </c>
    </row>
    <row r="1101" spans="2:3" hidden="1" x14ac:dyDescent="0.2">
      <c r="B1101" s="2">
        <v>21105141000</v>
      </c>
      <c r="C1101" t="s">
        <v>59</v>
      </c>
    </row>
    <row r="1102" spans="2:3" hidden="1" x14ac:dyDescent="0.2">
      <c r="B1102" s="2">
        <v>16439276000</v>
      </c>
      <c r="C1102" t="s">
        <v>59</v>
      </c>
    </row>
    <row r="1103" spans="2:3" x14ac:dyDescent="0.2">
      <c r="B1103" s="17">
        <v>3946000000</v>
      </c>
      <c r="C1103" s="16" t="s">
        <v>22</v>
      </c>
    </row>
    <row r="1104" spans="2:3" x14ac:dyDescent="0.2">
      <c r="B1104" s="17">
        <v>4243000000</v>
      </c>
      <c r="C1104" s="16" t="s">
        <v>22</v>
      </c>
    </row>
    <row r="1105" spans="2:3" x14ac:dyDescent="0.2">
      <c r="B1105" s="17">
        <v>4192000000</v>
      </c>
      <c r="C1105" s="16" t="s">
        <v>22</v>
      </c>
    </row>
    <row r="1106" spans="2:3" x14ac:dyDescent="0.2">
      <c r="B1106" s="17">
        <v>4694000000</v>
      </c>
      <c r="C1106" s="16" t="s">
        <v>22</v>
      </c>
    </row>
    <row r="1107" spans="2:3" hidden="1" x14ac:dyDescent="0.2">
      <c r="B1107" s="2">
        <v>5508500000</v>
      </c>
      <c r="C1107" t="s">
        <v>19</v>
      </c>
    </row>
    <row r="1108" spans="2:3" hidden="1" x14ac:dyDescent="0.2">
      <c r="B1108" s="2">
        <v>5607000000</v>
      </c>
      <c r="C1108" t="s">
        <v>19</v>
      </c>
    </row>
    <row r="1109" spans="2:3" hidden="1" x14ac:dyDescent="0.2">
      <c r="B1109" s="2">
        <v>5727000000</v>
      </c>
      <c r="C1109" t="s">
        <v>19</v>
      </c>
    </row>
    <row r="1110" spans="2:3" hidden="1" x14ac:dyDescent="0.2">
      <c r="B1110" s="2">
        <v>5915700000</v>
      </c>
      <c r="C1110" t="s">
        <v>19</v>
      </c>
    </row>
    <row r="1111" spans="2:3" hidden="1" x14ac:dyDescent="0.2">
      <c r="B1111" s="2">
        <v>484581000</v>
      </c>
      <c r="C1111" t="s">
        <v>52</v>
      </c>
    </row>
    <row r="1112" spans="2:3" hidden="1" x14ac:dyDescent="0.2">
      <c r="B1112" s="2">
        <v>780209000</v>
      </c>
      <c r="C1112" t="s">
        <v>52</v>
      </c>
    </row>
    <row r="1113" spans="2:3" hidden="1" x14ac:dyDescent="0.2">
      <c r="B1113" s="2">
        <v>933505000</v>
      </c>
      <c r="C1113" t="s">
        <v>52</v>
      </c>
    </row>
    <row r="1114" spans="2:3" hidden="1" x14ac:dyDescent="0.2">
      <c r="B1114" s="2">
        <v>1023285000</v>
      </c>
      <c r="C1114" t="s">
        <v>52</v>
      </c>
    </row>
    <row r="1115" spans="2:3" x14ac:dyDescent="0.2">
      <c r="B1115" s="17">
        <v>4365400000</v>
      </c>
      <c r="C1115" s="16" t="s">
        <v>22</v>
      </c>
    </row>
    <row r="1116" spans="2:3" x14ac:dyDescent="0.2">
      <c r="B1116" s="17">
        <v>4669100000</v>
      </c>
      <c r="C1116" s="16" t="s">
        <v>22</v>
      </c>
    </row>
    <row r="1117" spans="2:3" x14ac:dyDescent="0.2">
      <c r="B1117" s="17">
        <v>4627100000</v>
      </c>
      <c r="C1117" s="16" t="s">
        <v>22</v>
      </c>
    </row>
    <row r="1118" spans="2:3" x14ac:dyDescent="0.2">
      <c r="B1118" s="17">
        <v>4857800000</v>
      </c>
      <c r="C1118" s="16" t="s">
        <v>22</v>
      </c>
    </row>
    <row r="1119" spans="2:3" hidden="1" x14ac:dyDescent="0.2">
      <c r="B1119" s="2">
        <v>15317800000</v>
      </c>
      <c r="C1119" t="s">
        <v>19</v>
      </c>
    </row>
    <row r="1120" spans="2:3" hidden="1" x14ac:dyDescent="0.2">
      <c r="B1120" s="2">
        <v>15134400000</v>
      </c>
      <c r="C1120" t="s">
        <v>19</v>
      </c>
    </row>
    <row r="1121" spans="2:3" hidden="1" x14ac:dyDescent="0.2">
      <c r="B1121" s="2">
        <v>15416900000</v>
      </c>
      <c r="C1121" t="s">
        <v>19</v>
      </c>
    </row>
    <row r="1122" spans="2:3" hidden="1" x14ac:dyDescent="0.2">
      <c r="B1122" s="2">
        <v>6182184000</v>
      </c>
      <c r="C1122" t="s">
        <v>19</v>
      </c>
    </row>
    <row r="1123" spans="2:3" hidden="1" x14ac:dyDescent="0.2">
      <c r="B1123" s="2">
        <v>6649237000</v>
      </c>
      <c r="C1123" t="s">
        <v>19</v>
      </c>
    </row>
    <row r="1124" spans="2:3" hidden="1" x14ac:dyDescent="0.2">
      <c r="B1124" s="2">
        <v>7216081000</v>
      </c>
      <c r="C1124" t="s">
        <v>19</v>
      </c>
    </row>
    <row r="1125" spans="2:3" hidden="1" x14ac:dyDescent="0.2">
      <c r="B1125" s="2">
        <v>7966674000</v>
      </c>
      <c r="C1125" t="s">
        <v>19</v>
      </c>
    </row>
    <row r="1126" spans="2:3" x14ac:dyDescent="0.2">
      <c r="B1126" s="17">
        <v>2842781000</v>
      </c>
      <c r="C1126" s="16" t="s">
        <v>22</v>
      </c>
    </row>
    <row r="1127" spans="2:3" x14ac:dyDescent="0.2">
      <c r="B1127" s="17">
        <v>2929408000</v>
      </c>
      <c r="C1127" s="16" t="s">
        <v>22</v>
      </c>
    </row>
    <row r="1128" spans="2:3" x14ac:dyDescent="0.2">
      <c r="B1128" s="17">
        <v>2814049000</v>
      </c>
      <c r="C1128" s="16" t="s">
        <v>22</v>
      </c>
    </row>
    <row r="1129" spans="2:3" x14ac:dyDescent="0.2">
      <c r="B1129" s="17">
        <v>2984493000</v>
      </c>
      <c r="C1129" s="16" t="s">
        <v>22</v>
      </c>
    </row>
    <row r="1130" spans="2:3" hidden="1" x14ac:dyDescent="0.2">
      <c r="B1130" s="2">
        <v>1355300000</v>
      </c>
      <c r="C1130" t="s">
        <v>47</v>
      </c>
    </row>
    <row r="1131" spans="2:3" hidden="1" x14ac:dyDescent="0.2">
      <c r="B1131" s="2">
        <v>1346100000</v>
      </c>
      <c r="C1131" t="s">
        <v>47</v>
      </c>
    </row>
    <row r="1132" spans="2:3" hidden="1" x14ac:dyDescent="0.2">
      <c r="B1132" s="2">
        <v>1381400000</v>
      </c>
      <c r="C1132" t="s">
        <v>47</v>
      </c>
    </row>
    <row r="1133" spans="2:3" hidden="1" x14ac:dyDescent="0.2">
      <c r="B1133" s="2">
        <v>1421300000</v>
      </c>
      <c r="C1133" t="s">
        <v>47</v>
      </c>
    </row>
    <row r="1134" spans="2:3" hidden="1" x14ac:dyDescent="0.2">
      <c r="B1134" s="2">
        <v>3823713000</v>
      </c>
      <c r="C1134" t="s">
        <v>13</v>
      </c>
    </row>
    <row r="1135" spans="2:3" hidden="1" x14ac:dyDescent="0.2">
      <c r="B1135" s="2">
        <v>3791335000</v>
      </c>
      <c r="C1135" t="s">
        <v>13</v>
      </c>
    </row>
    <row r="1136" spans="2:3" hidden="1" x14ac:dyDescent="0.2">
      <c r="B1136" s="2">
        <v>3821504000</v>
      </c>
      <c r="C1136" t="s">
        <v>13</v>
      </c>
    </row>
    <row r="1137" spans="2:3" hidden="1" x14ac:dyDescent="0.2">
      <c r="B1137" s="2">
        <v>3578060000</v>
      </c>
      <c r="C1137" t="s">
        <v>13</v>
      </c>
    </row>
    <row r="1138" spans="2:3" hidden="1" x14ac:dyDescent="0.2">
      <c r="B1138" s="2">
        <v>16596800000</v>
      </c>
      <c r="C1138" t="s">
        <v>13</v>
      </c>
    </row>
    <row r="1139" spans="2:3" hidden="1" x14ac:dyDescent="0.2">
      <c r="B1139" s="2">
        <v>16661000000</v>
      </c>
      <c r="C1139" t="s">
        <v>13</v>
      </c>
    </row>
    <row r="1140" spans="2:3" hidden="1" x14ac:dyDescent="0.2">
      <c r="B1140" s="2">
        <v>18534400000</v>
      </c>
      <c r="C1140" t="s">
        <v>13</v>
      </c>
    </row>
    <row r="1141" spans="2:3" hidden="1" x14ac:dyDescent="0.2">
      <c r="B1141" s="2">
        <v>18671300000</v>
      </c>
      <c r="C1141" t="s">
        <v>13</v>
      </c>
    </row>
    <row r="1142" spans="2:3" hidden="1" x14ac:dyDescent="0.2">
      <c r="B1142" s="2">
        <v>15598000000</v>
      </c>
      <c r="C1142" t="s">
        <v>42</v>
      </c>
    </row>
    <row r="1143" spans="2:3" hidden="1" x14ac:dyDescent="0.2">
      <c r="B1143" s="2">
        <v>17090000000</v>
      </c>
      <c r="C1143" t="s">
        <v>42</v>
      </c>
    </row>
    <row r="1144" spans="2:3" hidden="1" x14ac:dyDescent="0.2">
      <c r="B1144" s="2">
        <v>16833000000</v>
      </c>
      <c r="C1144" t="s">
        <v>42</v>
      </c>
    </row>
    <row r="1145" spans="2:3" hidden="1" x14ac:dyDescent="0.2">
      <c r="B1145" s="2">
        <v>17666000000</v>
      </c>
      <c r="C1145" t="s">
        <v>42</v>
      </c>
    </row>
    <row r="1146" spans="2:3" hidden="1" x14ac:dyDescent="0.2">
      <c r="B1146" s="2">
        <v>5260956000</v>
      </c>
      <c r="C1146" t="s">
        <v>19</v>
      </c>
    </row>
    <row r="1147" spans="2:3" hidden="1" x14ac:dyDescent="0.2">
      <c r="B1147" s="2">
        <v>6793306000</v>
      </c>
      <c r="C1147" t="s">
        <v>19</v>
      </c>
    </row>
    <row r="1148" spans="2:3" hidden="1" x14ac:dyDescent="0.2">
      <c r="B1148" s="2">
        <v>8441971000</v>
      </c>
      <c r="C1148" t="s">
        <v>19</v>
      </c>
    </row>
    <row r="1149" spans="2:3" hidden="1" x14ac:dyDescent="0.2">
      <c r="B1149" s="2">
        <v>9223987000</v>
      </c>
      <c r="C1149" t="s">
        <v>19</v>
      </c>
    </row>
    <row r="1150" spans="2:3" hidden="1" x14ac:dyDescent="0.2">
      <c r="B1150" s="2">
        <v>3637212000</v>
      </c>
      <c r="C1150" t="s">
        <v>25</v>
      </c>
    </row>
    <row r="1151" spans="2:3" hidden="1" x14ac:dyDescent="0.2">
      <c r="B1151" s="2">
        <v>3585141000</v>
      </c>
      <c r="C1151" t="s">
        <v>25</v>
      </c>
    </row>
    <row r="1152" spans="2:3" hidden="1" x14ac:dyDescent="0.2">
      <c r="B1152" s="2">
        <v>3910865000</v>
      </c>
      <c r="C1152" t="s">
        <v>25</v>
      </c>
    </row>
    <row r="1153" spans="2:3" hidden="1" x14ac:dyDescent="0.2">
      <c r="B1153" s="2">
        <v>5386703000</v>
      </c>
      <c r="C1153" t="s">
        <v>25</v>
      </c>
    </row>
    <row r="1154" spans="2:3" hidden="1" x14ac:dyDescent="0.2">
      <c r="B1154" s="2">
        <v>9781000000</v>
      </c>
      <c r="C1154" t="s">
        <v>42</v>
      </c>
    </row>
    <row r="1155" spans="2:3" hidden="1" x14ac:dyDescent="0.2">
      <c r="B1155" s="2">
        <v>9968000000</v>
      </c>
      <c r="C1155" t="s">
        <v>42</v>
      </c>
    </row>
    <row r="1156" spans="2:3" hidden="1" x14ac:dyDescent="0.2">
      <c r="B1156" s="2">
        <v>10886000000</v>
      </c>
      <c r="C1156" t="s">
        <v>42</v>
      </c>
    </row>
    <row r="1157" spans="2:3" hidden="1" x14ac:dyDescent="0.2">
      <c r="B1157" s="2">
        <v>10415000000</v>
      </c>
      <c r="C1157" t="s">
        <v>42</v>
      </c>
    </row>
    <row r="1158" spans="2:3" hidden="1" x14ac:dyDescent="0.2">
      <c r="B1158" s="2">
        <v>66415000000</v>
      </c>
      <c r="C1158" t="s">
        <v>36</v>
      </c>
    </row>
    <row r="1159" spans="2:3" hidden="1" x14ac:dyDescent="0.2">
      <c r="B1159" s="2">
        <v>66683000000</v>
      </c>
      <c r="C1159" t="s">
        <v>36</v>
      </c>
    </row>
    <row r="1160" spans="2:3" hidden="1" x14ac:dyDescent="0.2">
      <c r="B1160" s="2">
        <v>63056000000</v>
      </c>
      <c r="C1160" t="s">
        <v>36</v>
      </c>
    </row>
    <row r="1161" spans="2:3" hidden="1" x14ac:dyDescent="0.2">
      <c r="B1161" s="2">
        <v>62799000000</v>
      </c>
      <c r="C1161" t="s">
        <v>36</v>
      </c>
    </row>
    <row r="1162" spans="2:3" hidden="1" x14ac:dyDescent="0.2">
      <c r="B1162" s="2">
        <v>54657000000</v>
      </c>
      <c r="C1162" t="s">
        <v>25</v>
      </c>
    </row>
    <row r="1163" spans="2:3" hidden="1" x14ac:dyDescent="0.2">
      <c r="B1163" s="2">
        <v>51584000000</v>
      </c>
      <c r="C1163" t="s">
        <v>25</v>
      </c>
    </row>
    <row r="1164" spans="2:3" hidden="1" x14ac:dyDescent="0.2">
      <c r="B1164" s="2">
        <v>49605000000</v>
      </c>
      <c r="C1164" t="s">
        <v>25</v>
      </c>
    </row>
    <row r="1165" spans="2:3" hidden="1" x14ac:dyDescent="0.2">
      <c r="B1165" s="2">
        <v>48851000000</v>
      </c>
      <c r="C1165" t="s">
        <v>25</v>
      </c>
    </row>
    <row r="1166" spans="2:3" hidden="1" x14ac:dyDescent="0.2">
      <c r="B1166" s="2">
        <v>9289500000</v>
      </c>
      <c r="C1166" t="s">
        <v>47</v>
      </c>
    </row>
    <row r="1167" spans="2:3" hidden="1" x14ac:dyDescent="0.2">
      <c r="B1167" s="2">
        <v>10477600000</v>
      </c>
      <c r="C1167" t="s">
        <v>47</v>
      </c>
    </row>
    <row r="1168" spans="2:3" hidden="1" x14ac:dyDescent="0.2">
      <c r="B1168" s="2">
        <v>11964400000</v>
      </c>
      <c r="C1168" t="s">
        <v>47</v>
      </c>
    </row>
    <row r="1169" spans="2:3" hidden="1" x14ac:dyDescent="0.2">
      <c r="B1169" s="2">
        <v>12394100000</v>
      </c>
      <c r="C1169" t="s">
        <v>47</v>
      </c>
    </row>
    <row r="1170" spans="2:3" hidden="1" x14ac:dyDescent="0.2">
      <c r="B1170" s="2">
        <v>2104745000</v>
      </c>
      <c r="C1170" t="s">
        <v>36</v>
      </c>
    </row>
    <row r="1171" spans="2:3" hidden="1" x14ac:dyDescent="0.2">
      <c r="B1171" s="2">
        <v>2819557000</v>
      </c>
      <c r="C1171" t="s">
        <v>36</v>
      </c>
    </row>
    <row r="1172" spans="2:3" hidden="1" x14ac:dyDescent="0.2">
      <c r="B1172" s="2">
        <v>4103728000</v>
      </c>
      <c r="C1172" t="s">
        <v>36</v>
      </c>
    </row>
    <row r="1173" spans="2:3" hidden="1" x14ac:dyDescent="0.2">
      <c r="B1173" s="2">
        <v>4860427000</v>
      </c>
      <c r="C1173" t="s">
        <v>36</v>
      </c>
    </row>
    <row r="1174" spans="2:3" hidden="1" x14ac:dyDescent="0.2">
      <c r="B1174" s="2">
        <v>17083900000</v>
      </c>
      <c r="C1174" t="s">
        <v>47</v>
      </c>
    </row>
    <row r="1175" spans="2:3" hidden="1" x14ac:dyDescent="0.2">
      <c r="B1175" s="2">
        <v>18170900000</v>
      </c>
      <c r="C1175" t="s">
        <v>47</v>
      </c>
    </row>
    <row r="1176" spans="2:3" hidden="1" x14ac:dyDescent="0.2">
      <c r="B1176" s="2">
        <v>19391400000</v>
      </c>
      <c r="C1176" t="s">
        <v>47</v>
      </c>
    </row>
    <row r="1177" spans="2:3" hidden="1" x14ac:dyDescent="0.2">
      <c r="B1177" s="2">
        <v>20853800000</v>
      </c>
      <c r="C1177" t="s">
        <v>47</v>
      </c>
    </row>
    <row r="1178" spans="2:3" hidden="1" x14ac:dyDescent="0.2">
      <c r="B1178" s="2">
        <v>13015704000</v>
      </c>
      <c r="C1178" t="s">
        <v>13</v>
      </c>
    </row>
    <row r="1179" spans="2:3" hidden="1" x14ac:dyDescent="0.2">
      <c r="B1179" s="2">
        <v>13215971000</v>
      </c>
      <c r="C1179" t="s">
        <v>13</v>
      </c>
    </row>
    <row r="1180" spans="2:3" hidden="1" x14ac:dyDescent="0.2">
      <c r="B1180" s="2">
        <v>12711744000</v>
      </c>
      <c r="C1180" t="s">
        <v>13</v>
      </c>
    </row>
    <row r="1181" spans="2:3" hidden="1" x14ac:dyDescent="0.2">
      <c r="B1181" s="2">
        <v>11360753000</v>
      </c>
      <c r="C1181" t="s">
        <v>13</v>
      </c>
    </row>
    <row r="1182" spans="2:3" hidden="1" x14ac:dyDescent="0.2">
      <c r="B1182" s="2">
        <v>5679595000</v>
      </c>
      <c r="C1182" t="s">
        <v>19</v>
      </c>
    </row>
    <row r="1183" spans="2:3" hidden="1" x14ac:dyDescent="0.2">
      <c r="B1183" s="2">
        <v>5822363000</v>
      </c>
      <c r="C1183" t="s">
        <v>19</v>
      </c>
    </row>
    <row r="1184" spans="2:3" hidden="1" x14ac:dyDescent="0.2">
      <c r="B1184" s="2">
        <v>5981964000</v>
      </c>
      <c r="C1184" t="s">
        <v>19</v>
      </c>
    </row>
    <row r="1185" spans="2:3" hidden="1" x14ac:dyDescent="0.2">
      <c r="B1185" s="2">
        <v>7668476000</v>
      </c>
      <c r="C1185" t="s">
        <v>19</v>
      </c>
    </row>
    <row r="1186" spans="2:3" hidden="1" x14ac:dyDescent="0.2">
      <c r="B1186" s="2">
        <v>2105188000</v>
      </c>
      <c r="C1186" t="s">
        <v>25</v>
      </c>
    </row>
    <row r="1187" spans="2:3" hidden="1" x14ac:dyDescent="0.2">
      <c r="B1187" s="2">
        <v>2157586000</v>
      </c>
      <c r="C1187" t="s">
        <v>25</v>
      </c>
    </row>
    <row r="1188" spans="2:3" hidden="1" x14ac:dyDescent="0.2">
      <c r="B1188" s="2">
        <v>2237219000</v>
      </c>
      <c r="C1188" t="s">
        <v>25</v>
      </c>
    </row>
    <row r="1189" spans="2:3" hidden="1" x14ac:dyDescent="0.2">
      <c r="B1189" s="2">
        <v>2262359000</v>
      </c>
      <c r="C1189" t="s">
        <v>25</v>
      </c>
    </row>
    <row r="1190" spans="2:3" hidden="1" x14ac:dyDescent="0.2">
      <c r="B1190" s="2">
        <v>80029000000</v>
      </c>
      <c r="C1190" t="s">
        <v>36</v>
      </c>
    </row>
    <row r="1191" spans="2:3" hidden="1" x14ac:dyDescent="0.2">
      <c r="B1191" s="2">
        <v>80106000000</v>
      </c>
      <c r="C1191" t="s">
        <v>36</v>
      </c>
    </row>
    <row r="1192" spans="2:3" hidden="1" x14ac:dyDescent="0.2">
      <c r="B1192" s="2">
        <v>73908000000</v>
      </c>
      <c r="C1192" t="s">
        <v>36</v>
      </c>
    </row>
    <row r="1193" spans="2:3" hidden="1" x14ac:dyDescent="0.2">
      <c r="B1193" s="2">
        <v>74953000000</v>
      </c>
      <c r="C1193" t="s">
        <v>36</v>
      </c>
    </row>
    <row r="1194" spans="2:3" hidden="1" x14ac:dyDescent="0.2">
      <c r="B1194" s="2">
        <v>16606000000</v>
      </c>
      <c r="C1194" t="s">
        <v>47</v>
      </c>
    </row>
    <row r="1195" spans="2:3" hidden="1" x14ac:dyDescent="0.2">
      <c r="B1195" s="2">
        <v>16872000000</v>
      </c>
      <c r="C1195" t="s">
        <v>47</v>
      </c>
    </row>
    <row r="1196" spans="2:3" hidden="1" x14ac:dyDescent="0.2">
      <c r="B1196" s="2">
        <v>16281000000</v>
      </c>
      <c r="C1196" t="s">
        <v>47</v>
      </c>
    </row>
    <row r="1197" spans="2:3" hidden="1" x14ac:dyDescent="0.2">
      <c r="B1197" s="2">
        <v>16270000000</v>
      </c>
      <c r="C1197" t="s">
        <v>47</v>
      </c>
    </row>
    <row r="1198" spans="2:3" hidden="1" x14ac:dyDescent="0.2">
      <c r="B1198" s="2">
        <v>4306800000</v>
      </c>
      <c r="C1198" t="s">
        <v>13</v>
      </c>
    </row>
    <row r="1199" spans="2:3" hidden="1" x14ac:dyDescent="0.2">
      <c r="B1199" s="2">
        <v>6999700000</v>
      </c>
      <c r="C1199" t="s">
        <v>13</v>
      </c>
    </row>
    <row r="1200" spans="2:3" hidden="1" x14ac:dyDescent="0.2">
      <c r="B1200" s="2">
        <v>7039000000</v>
      </c>
      <c r="C1200" t="s">
        <v>13</v>
      </c>
    </row>
    <row r="1201" spans="2:3" hidden="1" x14ac:dyDescent="0.2">
      <c r="B1201" s="2">
        <v>6449000000</v>
      </c>
      <c r="C1201" t="s">
        <v>13</v>
      </c>
    </row>
    <row r="1202" spans="2:3" hidden="1" x14ac:dyDescent="0.2">
      <c r="B1202" s="2">
        <v>3301804000</v>
      </c>
      <c r="C1202" t="s">
        <v>42</v>
      </c>
    </row>
    <row r="1203" spans="2:3" hidden="1" x14ac:dyDescent="0.2">
      <c r="B1203" s="2">
        <v>3454628000</v>
      </c>
      <c r="C1203" t="s">
        <v>42</v>
      </c>
    </row>
    <row r="1204" spans="2:3" hidden="1" x14ac:dyDescent="0.2">
      <c r="B1204" s="2">
        <v>3491632000</v>
      </c>
      <c r="C1204" t="s">
        <v>42</v>
      </c>
    </row>
    <row r="1205" spans="2:3" hidden="1" x14ac:dyDescent="0.2">
      <c r="B1205" s="2">
        <v>3495443000</v>
      </c>
      <c r="C1205" t="s">
        <v>42</v>
      </c>
    </row>
    <row r="1206" spans="2:3" hidden="1" x14ac:dyDescent="0.2">
      <c r="B1206" s="2">
        <v>14265000000</v>
      </c>
      <c r="C1206" t="s">
        <v>59</v>
      </c>
    </row>
    <row r="1207" spans="2:3" hidden="1" x14ac:dyDescent="0.2">
      <c r="B1207" s="2">
        <v>14791000000</v>
      </c>
      <c r="C1207" t="s">
        <v>59</v>
      </c>
    </row>
    <row r="1208" spans="2:3" hidden="1" x14ac:dyDescent="0.2">
      <c r="B1208" s="2">
        <v>14766000000</v>
      </c>
      <c r="C1208" t="s">
        <v>59</v>
      </c>
    </row>
    <row r="1209" spans="2:3" hidden="1" x14ac:dyDescent="0.2">
      <c r="B1209" s="2">
        <v>14751000000</v>
      </c>
      <c r="C1209" t="s">
        <v>59</v>
      </c>
    </row>
    <row r="1210" spans="2:3" hidden="1" x14ac:dyDescent="0.2">
      <c r="B1210" s="2">
        <v>12132000000</v>
      </c>
      <c r="C1210" t="s">
        <v>42</v>
      </c>
    </row>
    <row r="1211" spans="2:3" hidden="1" x14ac:dyDescent="0.2">
      <c r="B1211" s="2">
        <v>7263000000</v>
      </c>
      <c r="C1211" t="s">
        <v>42</v>
      </c>
    </row>
    <row r="1212" spans="2:3" hidden="1" x14ac:dyDescent="0.2">
      <c r="B1212" s="2">
        <v>7852000000</v>
      </c>
      <c r="C1212" t="s">
        <v>42</v>
      </c>
    </row>
    <row r="1213" spans="2:3" hidden="1" x14ac:dyDescent="0.2">
      <c r="B1213" s="2">
        <v>7669000000</v>
      </c>
      <c r="C1213" t="s">
        <v>42</v>
      </c>
    </row>
    <row r="1214" spans="2:3" hidden="1" x14ac:dyDescent="0.2">
      <c r="B1214" s="2">
        <v>84847000000</v>
      </c>
      <c r="C1214" t="s">
        <v>47</v>
      </c>
    </row>
    <row r="1215" spans="2:3" hidden="1" x14ac:dyDescent="0.2">
      <c r="B1215" s="2">
        <v>41461000000</v>
      </c>
      <c r="C1215" t="s">
        <v>47</v>
      </c>
    </row>
    <row r="1216" spans="2:3" hidden="1" x14ac:dyDescent="0.2">
      <c r="B1216" s="2">
        <v>54105000000</v>
      </c>
      <c r="C1216" t="s">
        <v>47</v>
      </c>
    </row>
    <row r="1217" spans="2:3" hidden="1" x14ac:dyDescent="0.2">
      <c r="B1217" s="2">
        <v>57119000000</v>
      </c>
      <c r="C1217" t="s">
        <v>47</v>
      </c>
    </row>
    <row r="1218" spans="2:3" x14ac:dyDescent="0.2">
      <c r="B1218" s="17">
        <v>1282236000</v>
      </c>
      <c r="C1218" s="16" t="s">
        <v>22</v>
      </c>
    </row>
    <row r="1219" spans="2:3" x14ac:dyDescent="0.2">
      <c r="B1219" s="17">
        <v>1388386000</v>
      </c>
      <c r="C1219" s="16" t="s">
        <v>22</v>
      </c>
    </row>
    <row r="1220" spans="2:3" x14ac:dyDescent="0.2">
      <c r="B1220" s="17">
        <v>1475139000</v>
      </c>
      <c r="C1220" s="16" t="s">
        <v>22</v>
      </c>
    </row>
    <row r="1221" spans="2:3" x14ac:dyDescent="0.2">
      <c r="B1221" s="17">
        <v>1423936000</v>
      </c>
      <c r="C1221" s="16" t="s">
        <v>22</v>
      </c>
    </row>
    <row r="1222" spans="2:3" hidden="1" x14ac:dyDescent="0.2">
      <c r="B1222" s="2">
        <v>6043000000</v>
      </c>
      <c r="C1222" t="s">
        <v>19</v>
      </c>
    </row>
    <row r="1223" spans="2:3" hidden="1" x14ac:dyDescent="0.2">
      <c r="B1223" s="2">
        <v>8186400000</v>
      </c>
      <c r="C1223" t="s">
        <v>19</v>
      </c>
    </row>
    <row r="1224" spans="2:3" hidden="1" x14ac:dyDescent="0.2">
      <c r="B1224" s="2">
        <v>8241200000</v>
      </c>
      <c r="C1224" t="s">
        <v>19</v>
      </c>
    </row>
    <row r="1225" spans="2:3" hidden="1" x14ac:dyDescent="0.2">
      <c r="B1225" s="2">
        <v>8020300000</v>
      </c>
      <c r="C1225" t="s">
        <v>19</v>
      </c>
    </row>
    <row r="1226" spans="2:3" hidden="1" x14ac:dyDescent="0.2">
      <c r="B1226" s="2">
        <v>5920269000</v>
      </c>
      <c r="C1226" t="s">
        <v>13</v>
      </c>
    </row>
    <row r="1227" spans="2:3" hidden="1" x14ac:dyDescent="0.2">
      <c r="B1227" s="2">
        <v>6411577000</v>
      </c>
      <c r="C1227" t="s">
        <v>13</v>
      </c>
    </row>
    <row r="1228" spans="2:3" hidden="1" x14ac:dyDescent="0.2">
      <c r="B1228" s="2">
        <v>7747229000</v>
      </c>
      <c r="C1228" t="s">
        <v>13</v>
      </c>
    </row>
    <row r="1229" spans="2:3" hidden="1" x14ac:dyDescent="0.2">
      <c r="B1229" s="2">
        <v>7572436000</v>
      </c>
      <c r="C1229" t="s">
        <v>13</v>
      </c>
    </row>
    <row r="1230" spans="2:3" hidden="1" x14ac:dyDescent="0.2">
      <c r="B1230" s="2">
        <v>11224000000</v>
      </c>
      <c r="C1230" t="s">
        <v>59</v>
      </c>
    </row>
    <row r="1231" spans="2:3" hidden="1" x14ac:dyDescent="0.2">
      <c r="B1231" s="2">
        <v>11925000000</v>
      </c>
      <c r="C1231" t="s">
        <v>59</v>
      </c>
    </row>
    <row r="1232" spans="2:3" hidden="1" x14ac:dyDescent="0.2">
      <c r="B1232" s="2">
        <v>12273000000</v>
      </c>
      <c r="C1232" t="s">
        <v>59</v>
      </c>
    </row>
    <row r="1233" spans="2:3" hidden="1" x14ac:dyDescent="0.2">
      <c r="B1233" s="2">
        <v>10776000000</v>
      </c>
      <c r="C1233" t="s">
        <v>59</v>
      </c>
    </row>
    <row r="1234" spans="2:3" x14ac:dyDescent="0.2">
      <c r="B1234" s="17">
        <v>3598916000</v>
      </c>
      <c r="C1234" s="16" t="s">
        <v>22</v>
      </c>
    </row>
    <row r="1235" spans="2:3" x14ac:dyDescent="0.2">
      <c r="B1235" s="17">
        <v>4607309000</v>
      </c>
      <c r="C1235" s="16" t="s">
        <v>22</v>
      </c>
    </row>
    <row r="1236" spans="2:3" x14ac:dyDescent="0.2">
      <c r="B1236" s="17">
        <v>5259312000</v>
      </c>
      <c r="C1236" s="16" t="s">
        <v>22</v>
      </c>
    </row>
    <row r="1237" spans="2:3" x14ac:dyDescent="0.2">
      <c r="B1237" s="17">
        <v>5885893000</v>
      </c>
      <c r="C1237" s="16" t="s">
        <v>22</v>
      </c>
    </row>
    <row r="1238" spans="2:3" x14ac:dyDescent="0.2">
      <c r="B1238" s="17">
        <v>8312000000</v>
      </c>
      <c r="C1238" s="16" t="s">
        <v>22</v>
      </c>
    </row>
    <row r="1239" spans="2:3" x14ac:dyDescent="0.2">
      <c r="B1239" s="17">
        <v>9441000000</v>
      </c>
      <c r="C1239" s="16" t="s">
        <v>22</v>
      </c>
    </row>
    <row r="1240" spans="2:3" x14ac:dyDescent="0.2">
      <c r="B1240" s="17">
        <v>9667000000</v>
      </c>
      <c r="C1240" s="16" t="s">
        <v>22</v>
      </c>
    </row>
    <row r="1241" spans="2:3" hidden="1" x14ac:dyDescent="0.2">
      <c r="B1241" s="2">
        <v>6419285000</v>
      </c>
      <c r="C1241" t="s">
        <v>13</v>
      </c>
    </row>
    <row r="1242" spans="2:3" hidden="1" x14ac:dyDescent="0.2">
      <c r="B1242" s="2">
        <v>6638774000</v>
      </c>
      <c r="C1242" t="s">
        <v>13</v>
      </c>
    </row>
    <row r="1243" spans="2:3" hidden="1" x14ac:dyDescent="0.2">
      <c r="B1243" s="2">
        <v>6571893000</v>
      </c>
      <c r="C1243" t="s">
        <v>13</v>
      </c>
    </row>
    <row r="1244" spans="2:3" hidden="1" x14ac:dyDescent="0.2">
      <c r="B1244" s="2">
        <v>6786984000</v>
      </c>
      <c r="C1244" t="s">
        <v>13</v>
      </c>
    </row>
    <row r="1245" spans="2:3" hidden="1" x14ac:dyDescent="0.2">
      <c r="B1245" s="2">
        <v>7688024000</v>
      </c>
      <c r="C1245" t="s">
        <v>19</v>
      </c>
    </row>
    <row r="1246" spans="2:3" hidden="1" x14ac:dyDescent="0.2">
      <c r="B1246" s="2">
        <v>7959894000</v>
      </c>
      <c r="C1246" t="s">
        <v>19</v>
      </c>
    </row>
    <row r="1247" spans="2:3" hidden="1" x14ac:dyDescent="0.2">
      <c r="B1247" s="2">
        <v>8073855000</v>
      </c>
      <c r="C1247" t="s">
        <v>19</v>
      </c>
    </row>
    <row r="1248" spans="2:3" hidden="1" x14ac:dyDescent="0.2">
      <c r="B1248" s="2">
        <v>8299074000</v>
      </c>
      <c r="C1248" t="s">
        <v>19</v>
      </c>
    </row>
    <row r="1249" spans="2:3" hidden="1" x14ac:dyDescent="0.2">
      <c r="B1249" s="2">
        <v>2104745000</v>
      </c>
      <c r="C1249" t="s">
        <v>25</v>
      </c>
    </row>
    <row r="1250" spans="2:3" hidden="1" x14ac:dyDescent="0.2">
      <c r="B1250" s="2">
        <v>2819557000</v>
      </c>
      <c r="C1250" t="s">
        <v>25</v>
      </c>
    </row>
    <row r="1251" spans="2:3" hidden="1" x14ac:dyDescent="0.2">
      <c r="B1251" s="2">
        <v>4103728000</v>
      </c>
      <c r="C1251" t="s">
        <v>25</v>
      </c>
    </row>
    <row r="1252" spans="2:3" hidden="1" x14ac:dyDescent="0.2">
      <c r="B1252" s="2">
        <v>4860427000</v>
      </c>
      <c r="C1252" t="s">
        <v>25</v>
      </c>
    </row>
    <row r="1253" spans="2:3" hidden="1" x14ac:dyDescent="0.2">
      <c r="B1253" s="2">
        <v>4245895000</v>
      </c>
      <c r="C1253" t="s">
        <v>13</v>
      </c>
    </row>
    <row r="1254" spans="2:3" hidden="1" x14ac:dyDescent="0.2">
      <c r="B1254" s="2">
        <v>4695014000</v>
      </c>
      <c r="C1254" t="s">
        <v>13</v>
      </c>
    </row>
    <row r="1255" spans="2:3" hidden="1" x14ac:dyDescent="0.2">
      <c r="B1255" s="2">
        <v>5094933000</v>
      </c>
      <c r="C1255" t="s">
        <v>13</v>
      </c>
    </row>
    <row r="1256" spans="2:3" hidden="1" x14ac:dyDescent="0.2">
      <c r="B1256" s="2">
        <v>5250399000</v>
      </c>
      <c r="C1256" t="s">
        <v>13</v>
      </c>
    </row>
    <row r="1257" spans="2:3" x14ac:dyDescent="0.2">
      <c r="B1257" s="17">
        <v>10776000000</v>
      </c>
      <c r="C1257" s="16" t="s">
        <v>22</v>
      </c>
    </row>
    <row r="1258" spans="2:3" x14ac:dyDescent="0.2">
      <c r="B1258" s="17">
        <v>1581623000</v>
      </c>
      <c r="C1258" s="16" t="s">
        <v>22</v>
      </c>
    </row>
    <row r="1259" spans="2:3" x14ac:dyDescent="0.2">
      <c r="B1259" s="17">
        <v>1931217000</v>
      </c>
      <c r="C1259" s="16" t="s">
        <v>22</v>
      </c>
    </row>
    <row r="1260" spans="2:3" x14ac:dyDescent="0.2">
      <c r="B1260" s="17">
        <v>2147036000</v>
      </c>
      <c r="C1260" s="16" t="s">
        <v>22</v>
      </c>
    </row>
    <row r="1261" spans="2:3" hidden="1" x14ac:dyDescent="0.2">
      <c r="B1261" s="2">
        <v>6945000000</v>
      </c>
      <c r="C1261" t="s">
        <v>19</v>
      </c>
    </row>
    <row r="1262" spans="2:3" hidden="1" x14ac:dyDescent="0.2">
      <c r="B1262" s="2">
        <v>7450000000</v>
      </c>
      <c r="C1262" t="s">
        <v>19</v>
      </c>
    </row>
    <row r="1263" spans="2:3" hidden="1" x14ac:dyDescent="0.2">
      <c r="B1263" s="2">
        <v>7620000000</v>
      </c>
      <c r="C1263" t="s">
        <v>19</v>
      </c>
    </row>
    <row r="1264" spans="2:3" hidden="1" x14ac:dyDescent="0.2">
      <c r="B1264" s="2">
        <v>7405000000</v>
      </c>
      <c r="C1264" t="s">
        <v>19</v>
      </c>
    </row>
    <row r="1265" spans="2:3" hidden="1" x14ac:dyDescent="0.2">
      <c r="B1265" s="2">
        <v>6351900000</v>
      </c>
      <c r="C1265" t="s">
        <v>13</v>
      </c>
    </row>
    <row r="1266" spans="2:3" hidden="1" x14ac:dyDescent="0.2">
      <c r="B1266" s="2">
        <v>6623500000</v>
      </c>
      <c r="C1266" t="s">
        <v>13</v>
      </c>
    </row>
    <row r="1267" spans="2:3" hidden="1" x14ac:dyDescent="0.2">
      <c r="B1267" s="2">
        <v>6307900000</v>
      </c>
      <c r="C1267" t="s">
        <v>13</v>
      </c>
    </row>
    <row r="1268" spans="2:3" hidden="1" x14ac:dyDescent="0.2">
      <c r="B1268" s="2">
        <v>5879500000</v>
      </c>
      <c r="C1268" t="s">
        <v>13</v>
      </c>
    </row>
    <row r="1269" spans="2:3" hidden="1" x14ac:dyDescent="0.2">
      <c r="B1269" s="2">
        <v>2993489000</v>
      </c>
      <c r="C1269" t="s">
        <v>13</v>
      </c>
    </row>
    <row r="1270" spans="2:3" hidden="1" x14ac:dyDescent="0.2">
      <c r="B1270" s="2">
        <v>3238128000</v>
      </c>
      <c r="C1270" t="s">
        <v>13</v>
      </c>
    </row>
    <row r="1271" spans="2:3" hidden="1" x14ac:dyDescent="0.2">
      <c r="B1271" s="2">
        <v>3549494000</v>
      </c>
      <c r="C1271" t="s">
        <v>13</v>
      </c>
    </row>
    <row r="1272" spans="2:3" hidden="1" x14ac:dyDescent="0.2">
      <c r="B1272" s="2">
        <v>3582395000</v>
      </c>
      <c r="C1272" t="s">
        <v>13</v>
      </c>
    </row>
    <row r="1273" spans="2:3" hidden="1" x14ac:dyDescent="0.2">
      <c r="B1273" s="2">
        <v>9721065000</v>
      </c>
      <c r="C1273" t="s">
        <v>19</v>
      </c>
    </row>
    <row r="1274" spans="2:3" hidden="1" x14ac:dyDescent="0.2">
      <c r="B1274" s="2">
        <v>10230353000</v>
      </c>
      <c r="C1274" t="s">
        <v>19</v>
      </c>
    </row>
    <row r="1275" spans="2:3" hidden="1" x14ac:dyDescent="0.2">
      <c r="B1275" s="2">
        <v>11041677000</v>
      </c>
      <c r="C1275" t="s">
        <v>19</v>
      </c>
    </row>
    <row r="1276" spans="2:3" hidden="1" x14ac:dyDescent="0.2">
      <c r="B1276" s="2">
        <v>11939999000</v>
      </c>
      <c r="C1276" t="s">
        <v>19</v>
      </c>
    </row>
    <row r="1277" spans="2:3" x14ac:dyDescent="0.2">
      <c r="B1277" s="17">
        <v>2173334000</v>
      </c>
      <c r="C1277" s="16" t="s">
        <v>22</v>
      </c>
    </row>
    <row r="1278" spans="2:3" x14ac:dyDescent="0.2">
      <c r="B1278" s="17">
        <v>77849000000</v>
      </c>
      <c r="C1278" s="16" t="s">
        <v>22</v>
      </c>
    </row>
    <row r="1279" spans="2:3" x14ac:dyDescent="0.2">
      <c r="B1279" s="17">
        <v>86833000000</v>
      </c>
      <c r="C1279" s="16" t="s">
        <v>22</v>
      </c>
    </row>
    <row r="1280" spans="2:3" x14ac:dyDescent="0.2">
      <c r="B1280" s="17">
        <v>93580000000</v>
      </c>
      <c r="C1280" s="16" t="s">
        <v>22</v>
      </c>
    </row>
    <row r="1281" spans="2:3" hidden="1" x14ac:dyDescent="0.2">
      <c r="B1281" s="2">
        <v>8417200000</v>
      </c>
      <c r="C1281" t="s">
        <v>13</v>
      </c>
    </row>
    <row r="1282" spans="2:3" hidden="1" x14ac:dyDescent="0.2">
      <c r="B1282" s="2">
        <v>8803300000</v>
      </c>
      <c r="C1282" t="s">
        <v>13</v>
      </c>
    </row>
    <row r="1283" spans="2:3" hidden="1" x14ac:dyDescent="0.2">
      <c r="B1283" s="2">
        <v>9115000000</v>
      </c>
      <c r="C1283" t="s">
        <v>13</v>
      </c>
    </row>
    <row r="1284" spans="2:3" hidden="1" x14ac:dyDescent="0.2">
      <c r="B1284" s="2">
        <v>9387700000</v>
      </c>
      <c r="C1284" t="s">
        <v>13</v>
      </c>
    </row>
    <row r="1285" spans="2:3" hidden="1" x14ac:dyDescent="0.2">
      <c r="B1285" s="2">
        <v>14866800000</v>
      </c>
      <c r="C1285" t="s">
        <v>19</v>
      </c>
    </row>
    <row r="1286" spans="2:3" hidden="1" x14ac:dyDescent="0.2">
      <c r="B1286" s="2">
        <v>16447800000</v>
      </c>
      <c r="C1286" t="s">
        <v>19</v>
      </c>
    </row>
    <row r="1287" spans="2:3" hidden="1" x14ac:dyDescent="0.2">
      <c r="B1287" s="2">
        <v>19162700000</v>
      </c>
      <c r="C1287" t="s">
        <v>19</v>
      </c>
    </row>
    <row r="1288" spans="2:3" hidden="1" x14ac:dyDescent="0.2">
      <c r="B1288" s="2">
        <v>21315900000</v>
      </c>
      <c r="C1288" t="s">
        <v>19</v>
      </c>
    </row>
    <row r="1289" spans="2:3" hidden="1" x14ac:dyDescent="0.2">
      <c r="B1289" s="2">
        <v>4176000000</v>
      </c>
      <c r="C1289" t="s">
        <v>42</v>
      </c>
    </row>
    <row r="1290" spans="2:3" hidden="1" x14ac:dyDescent="0.2">
      <c r="B1290" s="2">
        <v>4495000000</v>
      </c>
      <c r="C1290" t="s">
        <v>42</v>
      </c>
    </row>
    <row r="1291" spans="2:3" hidden="1" x14ac:dyDescent="0.2">
      <c r="B1291" s="2">
        <v>4951000000</v>
      </c>
      <c r="C1291" t="s">
        <v>42</v>
      </c>
    </row>
    <row r="1292" spans="2:3" hidden="1" x14ac:dyDescent="0.2">
      <c r="B1292" s="2">
        <v>4380000000</v>
      </c>
      <c r="C1292" t="s">
        <v>42</v>
      </c>
    </row>
    <row r="1293" spans="2:3" x14ac:dyDescent="0.2">
      <c r="B1293" s="17">
        <v>85320000000</v>
      </c>
      <c r="C1293" s="16" t="s">
        <v>22</v>
      </c>
    </row>
    <row r="1294" spans="2:3" x14ac:dyDescent="0.2">
      <c r="B1294" s="17">
        <v>9073000000</v>
      </c>
      <c r="C1294" s="16" t="s">
        <v>22</v>
      </c>
    </row>
    <row r="1295" spans="2:3" x14ac:dyDescent="0.2">
      <c r="B1295" s="17">
        <v>16358000000</v>
      </c>
      <c r="C1295" s="16" t="s">
        <v>22</v>
      </c>
    </row>
    <row r="1296" spans="2:3" x14ac:dyDescent="0.2">
      <c r="B1296" s="17">
        <v>16192000000</v>
      </c>
      <c r="C1296" s="16" t="s">
        <v>22</v>
      </c>
    </row>
    <row r="1297" spans="2:3" hidden="1" x14ac:dyDescent="0.2">
      <c r="B1297" s="2">
        <v>7690800000</v>
      </c>
      <c r="C1297" t="s">
        <v>59</v>
      </c>
    </row>
    <row r="1298" spans="2:3" hidden="1" x14ac:dyDescent="0.2">
      <c r="B1298" s="2">
        <v>7750500000</v>
      </c>
      <c r="C1298" t="s">
        <v>59</v>
      </c>
    </row>
    <row r="1299" spans="2:3" hidden="1" x14ac:dyDescent="0.2">
      <c r="B1299" s="2">
        <v>7031500000</v>
      </c>
      <c r="C1299" t="s">
        <v>59</v>
      </c>
    </row>
    <row r="1300" spans="2:3" hidden="1" x14ac:dyDescent="0.2">
      <c r="B1300" s="2">
        <v>6778300000</v>
      </c>
      <c r="C1300" t="s">
        <v>59</v>
      </c>
    </row>
    <row r="1301" spans="2:3" hidden="1" x14ac:dyDescent="0.2">
      <c r="B1301" s="2">
        <v>9534462000</v>
      </c>
      <c r="C1301" t="s">
        <v>59</v>
      </c>
    </row>
    <row r="1302" spans="2:3" hidden="1" x14ac:dyDescent="0.2">
      <c r="B1302" s="2">
        <v>10185532000</v>
      </c>
      <c r="C1302" t="s">
        <v>59</v>
      </c>
    </row>
    <row r="1303" spans="2:3" hidden="1" x14ac:dyDescent="0.2">
      <c r="B1303" s="2">
        <v>11129533000</v>
      </c>
      <c r="C1303" t="s">
        <v>59</v>
      </c>
    </row>
    <row r="1304" spans="2:3" hidden="1" x14ac:dyDescent="0.2">
      <c r="B1304" s="2">
        <v>11339304000</v>
      </c>
      <c r="C1304" t="s">
        <v>59</v>
      </c>
    </row>
    <row r="1305" spans="2:3" hidden="1" x14ac:dyDescent="0.2">
      <c r="B1305" s="2">
        <v>3983400000</v>
      </c>
      <c r="C1305" t="s">
        <v>19</v>
      </c>
    </row>
    <row r="1306" spans="2:3" hidden="1" x14ac:dyDescent="0.2">
      <c r="B1306" s="2">
        <v>4209200000</v>
      </c>
      <c r="C1306" t="s">
        <v>19</v>
      </c>
    </row>
    <row r="1307" spans="2:3" hidden="1" x14ac:dyDescent="0.2">
      <c r="B1307" s="2">
        <v>5736300000</v>
      </c>
      <c r="C1307" t="s">
        <v>19</v>
      </c>
    </row>
    <row r="1308" spans="2:3" hidden="1" x14ac:dyDescent="0.2">
      <c r="B1308" s="2">
        <v>6550200000</v>
      </c>
      <c r="C1308" t="s">
        <v>19</v>
      </c>
    </row>
    <row r="1309" spans="2:3" hidden="1" x14ac:dyDescent="0.2">
      <c r="B1309" s="2">
        <v>5897700000</v>
      </c>
      <c r="C1309" t="s">
        <v>36</v>
      </c>
    </row>
    <row r="1310" spans="2:3" hidden="1" x14ac:dyDescent="0.2">
      <c r="B1310" s="2">
        <v>5610600000</v>
      </c>
      <c r="C1310" t="s">
        <v>36</v>
      </c>
    </row>
    <row r="1311" spans="2:3" hidden="1" x14ac:dyDescent="0.2">
      <c r="B1311" s="2">
        <v>5692700000</v>
      </c>
      <c r="C1311" t="s">
        <v>36</v>
      </c>
    </row>
    <row r="1312" spans="2:3" hidden="1" x14ac:dyDescent="0.2">
      <c r="B1312" s="2">
        <v>7811200000</v>
      </c>
      <c r="C1312" t="s">
        <v>36</v>
      </c>
    </row>
    <row r="1313" spans="2:3" hidden="1" x14ac:dyDescent="0.2">
      <c r="B1313" s="2">
        <v>1290052000</v>
      </c>
      <c r="C1313" t="s">
        <v>52</v>
      </c>
    </row>
    <row r="1314" spans="2:3" hidden="1" x14ac:dyDescent="0.2">
      <c r="B1314" s="2">
        <v>1371065000</v>
      </c>
      <c r="C1314" t="s">
        <v>52</v>
      </c>
    </row>
    <row r="1315" spans="2:3" hidden="1" x14ac:dyDescent="0.2">
      <c r="B1315" s="2">
        <v>1519978000</v>
      </c>
      <c r="C1315" t="s">
        <v>52</v>
      </c>
    </row>
    <row r="1316" spans="2:3" hidden="1" x14ac:dyDescent="0.2">
      <c r="B1316" s="2">
        <v>1662829000</v>
      </c>
      <c r="C1316" t="s">
        <v>52</v>
      </c>
    </row>
    <row r="1317" spans="2:3" hidden="1" x14ac:dyDescent="0.2">
      <c r="B1317" s="2">
        <v>3237500000</v>
      </c>
      <c r="C1317" t="s">
        <v>19</v>
      </c>
    </row>
    <row r="1318" spans="2:3" hidden="1" x14ac:dyDescent="0.2">
      <c r="B1318" s="2">
        <v>3492600000</v>
      </c>
      <c r="C1318" t="s">
        <v>19</v>
      </c>
    </row>
    <row r="1319" spans="2:3" hidden="1" x14ac:dyDescent="0.2">
      <c r="B1319" s="2">
        <v>3593100000</v>
      </c>
      <c r="C1319" t="s">
        <v>19</v>
      </c>
    </row>
    <row r="1320" spans="2:3" hidden="1" x14ac:dyDescent="0.2">
      <c r="B1320" s="2">
        <v>3711800000</v>
      </c>
      <c r="C1320" t="s">
        <v>19</v>
      </c>
    </row>
    <row r="1321" spans="2:3" hidden="1" x14ac:dyDescent="0.2">
      <c r="B1321" s="2">
        <v>2307182000</v>
      </c>
      <c r="C1321" t="s">
        <v>19</v>
      </c>
    </row>
    <row r="1322" spans="2:3" hidden="1" x14ac:dyDescent="0.2">
      <c r="B1322" s="2">
        <v>2530809000</v>
      </c>
      <c r="C1322" t="s">
        <v>19</v>
      </c>
    </row>
    <row r="1323" spans="2:3" hidden="1" x14ac:dyDescent="0.2">
      <c r="B1323" s="2">
        <v>2665456000</v>
      </c>
      <c r="C1323" t="s">
        <v>19</v>
      </c>
    </row>
    <row r="1324" spans="2:3" hidden="1" x14ac:dyDescent="0.2">
      <c r="B1324" s="2">
        <v>3018227000</v>
      </c>
      <c r="C1324" t="s">
        <v>19</v>
      </c>
    </row>
    <row r="1325" spans="2:3" hidden="1" x14ac:dyDescent="0.2">
      <c r="B1325" s="2">
        <v>16537000000</v>
      </c>
      <c r="C1325" t="s">
        <v>42</v>
      </c>
    </row>
    <row r="1326" spans="2:3" hidden="1" x14ac:dyDescent="0.2">
      <c r="B1326" s="2">
        <v>17087000000</v>
      </c>
      <c r="C1326" t="s">
        <v>42</v>
      </c>
    </row>
    <row r="1327" spans="2:3" hidden="1" x14ac:dyDescent="0.2">
      <c r="B1327" s="2">
        <v>18467000000</v>
      </c>
      <c r="C1327" t="s">
        <v>42</v>
      </c>
    </row>
    <row r="1328" spans="2:3" hidden="1" x14ac:dyDescent="0.2">
      <c r="B1328" s="2">
        <v>17489000000</v>
      </c>
      <c r="C1328" t="s">
        <v>42</v>
      </c>
    </row>
    <row r="1329" spans="2:3" hidden="1" x14ac:dyDescent="0.2">
      <c r="B1329" s="2">
        <v>4256157000</v>
      </c>
      <c r="C1329" t="s">
        <v>52</v>
      </c>
    </row>
    <row r="1330" spans="2:3" hidden="1" x14ac:dyDescent="0.2">
      <c r="B1330" s="2">
        <v>4543849000</v>
      </c>
      <c r="C1330" t="s">
        <v>52</v>
      </c>
    </row>
    <row r="1331" spans="2:3" hidden="1" x14ac:dyDescent="0.2">
      <c r="B1331" s="2">
        <v>4870818000</v>
      </c>
      <c r="C1331" t="s">
        <v>52</v>
      </c>
    </row>
    <row r="1332" spans="2:3" hidden="1" x14ac:dyDescent="0.2">
      <c r="B1332" s="2">
        <v>5266103000</v>
      </c>
      <c r="C1332" t="s">
        <v>52</v>
      </c>
    </row>
    <row r="1333" spans="2:3" hidden="1" x14ac:dyDescent="0.2">
      <c r="B1333" s="2">
        <v>24380510000</v>
      </c>
      <c r="C1333" t="s">
        <v>19</v>
      </c>
    </row>
    <row r="1334" spans="2:3" hidden="1" x14ac:dyDescent="0.2">
      <c r="B1334" s="2">
        <v>23114000000</v>
      </c>
      <c r="C1334" t="s">
        <v>19</v>
      </c>
    </row>
    <row r="1335" spans="2:3" hidden="1" x14ac:dyDescent="0.2">
      <c r="B1335" s="2">
        <v>22492000000</v>
      </c>
      <c r="C1335" t="s">
        <v>19</v>
      </c>
    </row>
    <row r="1336" spans="2:3" hidden="1" x14ac:dyDescent="0.2">
      <c r="B1336" s="2">
        <v>21059000000</v>
      </c>
      <c r="C1336" t="s">
        <v>19</v>
      </c>
    </row>
    <row r="1337" spans="2:3" hidden="1" x14ac:dyDescent="0.2">
      <c r="B1337" s="2">
        <v>1913149000</v>
      </c>
      <c r="C1337" t="s">
        <v>13</v>
      </c>
    </row>
    <row r="1338" spans="2:3" hidden="1" x14ac:dyDescent="0.2">
      <c r="B1338" s="2">
        <v>2142807000</v>
      </c>
      <c r="C1338" t="s">
        <v>13</v>
      </c>
    </row>
    <row r="1339" spans="2:3" hidden="1" x14ac:dyDescent="0.2">
      <c r="B1339" s="2">
        <v>2555601000</v>
      </c>
      <c r="C1339" t="s">
        <v>13</v>
      </c>
    </row>
    <row r="1340" spans="2:3" hidden="1" x14ac:dyDescent="0.2">
      <c r="B1340" s="2">
        <v>2985908000</v>
      </c>
      <c r="C1340" t="s">
        <v>13</v>
      </c>
    </row>
    <row r="1341" spans="2:3" hidden="1" x14ac:dyDescent="0.2">
      <c r="B1341" s="2">
        <v>9647000000</v>
      </c>
      <c r="C1341" t="s">
        <v>42</v>
      </c>
    </row>
    <row r="1342" spans="2:3" hidden="1" x14ac:dyDescent="0.2">
      <c r="B1342" s="2">
        <v>10557000000</v>
      </c>
      <c r="C1342" t="s">
        <v>42</v>
      </c>
    </row>
    <row r="1343" spans="2:3" hidden="1" x14ac:dyDescent="0.2">
      <c r="B1343" s="2">
        <v>11035000000</v>
      </c>
      <c r="C1343" t="s">
        <v>42</v>
      </c>
    </row>
    <row r="1344" spans="2:3" hidden="1" x14ac:dyDescent="0.2">
      <c r="B1344" s="2">
        <v>10231000000</v>
      </c>
      <c r="C1344" t="s">
        <v>42</v>
      </c>
    </row>
    <row r="1345" spans="2:3" hidden="1" x14ac:dyDescent="0.2">
      <c r="B1345" s="2">
        <v>11240000000</v>
      </c>
      <c r="C1345" t="s">
        <v>47</v>
      </c>
    </row>
    <row r="1346" spans="2:3" hidden="1" x14ac:dyDescent="0.2">
      <c r="B1346" s="2">
        <v>8602000000</v>
      </c>
      <c r="C1346" t="s">
        <v>47</v>
      </c>
    </row>
    <row r="1347" spans="2:3" hidden="1" x14ac:dyDescent="0.2">
      <c r="B1347" s="2">
        <v>8707000000</v>
      </c>
      <c r="C1347" t="s">
        <v>47</v>
      </c>
    </row>
    <row r="1348" spans="2:3" hidden="1" x14ac:dyDescent="0.2">
      <c r="B1348" s="2">
        <v>8533000000</v>
      </c>
      <c r="C1348" t="s">
        <v>47</v>
      </c>
    </row>
    <row r="1349" spans="2:3" x14ac:dyDescent="0.2">
      <c r="B1349" s="17">
        <v>12399000000</v>
      </c>
      <c r="C1349" s="16" t="s">
        <v>22</v>
      </c>
    </row>
    <row r="1350" spans="2:3" x14ac:dyDescent="0.2">
      <c r="B1350" s="17">
        <v>4374562000</v>
      </c>
      <c r="C1350" s="16" t="s">
        <v>22</v>
      </c>
    </row>
    <row r="1351" spans="2:3" x14ac:dyDescent="0.2">
      <c r="B1351" s="17">
        <v>5504656000</v>
      </c>
      <c r="C1351" s="16" t="s">
        <v>22</v>
      </c>
    </row>
    <row r="1352" spans="2:3" x14ac:dyDescent="0.2">
      <c r="B1352" s="17">
        <v>6779511000</v>
      </c>
      <c r="C1352" s="16" t="s">
        <v>22</v>
      </c>
    </row>
    <row r="1353" spans="2:3" hidden="1" x14ac:dyDescent="0.2">
      <c r="B1353" s="2">
        <v>2796100000</v>
      </c>
      <c r="C1353" t="s">
        <v>36</v>
      </c>
    </row>
    <row r="1354" spans="2:3" hidden="1" x14ac:dyDescent="0.2">
      <c r="B1354" s="2">
        <v>4867700000</v>
      </c>
      <c r="C1354" t="s">
        <v>36</v>
      </c>
    </row>
    <row r="1355" spans="2:3" hidden="1" x14ac:dyDescent="0.2">
      <c r="B1355" s="2">
        <v>6028000000</v>
      </c>
      <c r="C1355" t="s">
        <v>36</v>
      </c>
    </row>
    <row r="1356" spans="2:3" hidden="1" x14ac:dyDescent="0.2">
      <c r="B1356" s="2">
        <v>6548400000</v>
      </c>
      <c r="C1356" t="s">
        <v>36</v>
      </c>
    </row>
    <row r="1357" spans="2:3" hidden="1" x14ac:dyDescent="0.2">
      <c r="B1357" s="2">
        <v>10889500000</v>
      </c>
      <c r="C1357" t="s">
        <v>19</v>
      </c>
    </row>
    <row r="1358" spans="2:3" hidden="1" x14ac:dyDescent="0.2">
      <c r="B1358" s="2">
        <v>11338600000</v>
      </c>
      <c r="C1358" t="s">
        <v>19</v>
      </c>
    </row>
    <row r="1359" spans="2:3" hidden="1" x14ac:dyDescent="0.2">
      <c r="B1359" s="2">
        <v>11171800000</v>
      </c>
      <c r="C1359" t="s">
        <v>19</v>
      </c>
    </row>
    <row r="1360" spans="2:3" hidden="1" x14ac:dyDescent="0.2">
      <c r="B1360" s="2">
        <v>11406900000</v>
      </c>
      <c r="C1360" t="s">
        <v>19</v>
      </c>
    </row>
    <row r="1361" spans="2:3" x14ac:dyDescent="0.2">
      <c r="B1361" s="17">
        <v>8830669000</v>
      </c>
      <c r="C1361" s="16" t="s">
        <v>22</v>
      </c>
    </row>
    <row r="1362" spans="2:3" x14ac:dyDescent="0.2">
      <c r="B1362" s="17">
        <v>6332400000</v>
      </c>
      <c r="C1362" s="16" t="s">
        <v>22</v>
      </c>
    </row>
    <row r="1363" spans="2:3" x14ac:dyDescent="0.2">
      <c r="B1363" s="17">
        <v>6325000000</v>
      </c>
      <c r="C1363" s="16" t="s">
        <v>22</v>
      </c>
    </row>
    <row r="1364" spans="2:3" x14ac:dyDescent="0.2">
      <c r="B1364" s="17">
        <v>6123000000</v>
      </c>
      <c r="C1364" s="16" t="s">
        <v>22</v>
      </c>
    </row>
    <row r="1365" spans="2:3" x14ac:dyDescent="0.2">
      <c r="B1365" s="17">
        <v>5546000000</v>
      </c>
      <c r="C1365" s="16" t="s">
        <v>22</v>
      </c>
    </row>
    <row r="1366" spans="2:3" x14ac:dyDescent="0.2">
      <c r="B1366" s="17">
        <v>4280159000</v>
      </c>
      <c r="C1366" s="16" t="s">
        <v>22</v>
      </c>
    </row>
    <row r="1367" spans="2:3" x14ac:dyDescent="0.2">
      <c r="B1367" s="17">
        <v>4130000000</v>
      </c>
      <c r="C1367" s="16" t="s">
        <v>22</v>
      </c>
    </row>
    <row r="1368" spans="2:3" x14ac:dyDescent="0.2">
      <c r="B1368" s="17">
        <v>4682000000</v>
      </c>
      <c r="C1368" s="16" t="s">
        <v>22</v>
      </c>
    </row>
    <row r="1369" spans="2:3" hidden="1" x14ac:dyDescent="0.2">
      <c r="B1369" s="2">
        <v>10793000000</v>
      </c>
      <c r="C1369" t="s">
        <v>47</v>
      </c>
    </row>
    <row r="1370" spans="2:3" hidden="1" x14ac:dyDescent="0.2">
      <c r="B1370" s="2">
        <v>11813000000</v>
      </c>
      <c r="C1370" t="s">
        <v>47</v>
      </c>
    </row>
    <row r="1371" spans="2:3" hidden="1" x14ac:dyDescent="0.2">
      <c r="B1371" s="2">
        <v>12727000000</v>
      </c>
      <c r="C1371" t="s">
        <v>47</v>
      </c>
    </row>
    <row r="1372" spans="2:3" hidden="1" x14ac:dyDescent="0.2">
      <c r="B1372" s="2">
        <v>13620000000</v>
      </c>
      <c r="C1372" t="s">
        <v>47</v>
      </c>
    </row>
    <row r="1373" spans="2:3" hidden="1" x14ac:dyDescent="0.2">
      <c r="B1373" s="2">
        <v>9021000000</v>
      </c>
      <c r="C1373" t="s">
        <v>25</v>
      </c>
    </row>
    <row r="1374" spans="2:3" hidden="1" x14ac:dyDescent="0.2">
      <c r="B1374" s="2">
        <v>9675000000</v>
      </c>
      <c r="C1374" t="s">
        <v>25</v>
      </c>
    </row>
    <row r="1375" spans="2:3" hidden="1" x14ac:dyDescent="0.2">
      <c r="B1375" s="2">
        <v>9946000000</v>
      </c>
      <c r="C1375" t="s">
        <v>25</v>
      </c>
    </row>
    <row r="1376" spans="2:3" hidden="1" x14ac:dyDescent="0.2">
      <c r="B1376" s="2">
        <v>11325000000</v>
      </c>
      <c r="C1376" t="s">
        <v>25</v>
      </c>
    </row>
    <row r="1377" spans="2:3" x14ac:dyDescent="0.2">
      <c r="B1377" s="17">
        <v>5010000000</v>
      </c>
      <c r="C1377" s="16" t="s">
        <v>22</v>
      </c>
    </row>
    <row r="1378" spans="2:3" x14ac:dyDescent="0.2">
      <c r="B1378" s="17">
        <v>24866000000</v>
      </c>
      <c r="C1378" s="16" t="s">
        <v>22</v>
      </c>
    </row>
    <row r="1379" spans="2:3" x14ac:dyDescent="0.2">
      <c r="B1379" s="17">
        <v>26487000000</v>
      </c>
      <c r="C1379" s="16" t="s">
        <v>22</v>
      </c>
    </row>
    <row r="1380" spans="2:3" x14ac:dyDescent="0.2">
      <c r="B1380" s="17">
        <v>25281000000</v>
      </c>
      <c r="C1380" s="16" t="s">
        <v>22</v>
      </c>
    </row>
    <row r="1381" spans="2:3" hidden="1" x14ac:dyDescent="0.2">
      <c r="B1381" s="2">
        <v>44411233000</v>
      </c>
      <c r="C1381" t="s">
        <v>36</v>
      </c>
    </row>
    <row r="1382" spans="2:3" hidden="1" x14ac:dyDescent="0.2">
      <c r="B1382" s="2">
        <v>46516712000</v>
      </c>
      <c r="C1382" t="s">
        <v>36</v>
      </c>
    </row>
    <row r="1383" spans="2:3" hidden="1" x14ac:dyDescent="0.2">
      <c r="B1383" s="2">
        <v>48680752000</v>
      </c>
      <c r="C1383" t="s">
        <v>36</v>
      </c>
    </row>
    <row r="1384" spans="2:3" hidden="1" x14ac:dyDescent="0.2">
      <c r="B1384" s="2">
        <v>50366919000</v>
      </c>
      <c r="C1384" t="s">
        <v>36</v>
      </c>
    </row>
    <row r="1385" spans="2:3" hidden="1" x14ac:dyDescent="0.2">
      <c r="B1385" s="2">
        <v>127434000000</v>
      </c>
      <c r="C1385" t="s">
        <v>182</v>
      </c>
    </row>
    <row r="1386" spans="2:3" hidden="1" x14ac:dyDescent="0.2">
      <c r="B1386" s="2">
        <v>128752000000</v>
      </c>
      <c r="C1386" t="s">
        <v>182</v>
      </c>
    </row>
    <row r="1387" spans="2:3" hidden="1" x14ac:dyDescent="0.2">
      <c r="B1387" s="2">
        <v>132447000000</v>
      </c>
      <c r="C1387" t="s">
        <v>182</v>
      </c>
    </row>
    <row r="1388" spans="2:3" hidden="1" x14ac:dyDescent="0.2">
      <c r="B1388" s="2">
        <v>146801000000</v>
      </c>
      <c r="C1388" t="s">
        <v>182</v>
      </c>
    </row>
    <row r="1389" spans="2:3" hidden="1" x14ac:dyDescent="0.2">
      <c r="B1389" s="2">
        <v>4206100000</v>
      </c>
      <c r="C1389" t="s">
        <v>36</v>
      </c>
    </row>
    <row r="1390" spans="2:3" hidden="1" x14ac:dyDescent="0.2">
      <c r="B1390" s="2">
        <v>4146300000</v>
      </c>
      <c r="C1390" t="s">
        <v>36</v>
      </c>
    </row>
    <row r="1391" spans="2:3" hidden="1" x14ac:dyDescent="0.2">
      <c r="B1391" s="2">
        <v>3567500000</v>
      </c>
      <c r="C1391" t="s">
        <v>36</v>
      </c>
    </row>
    <row r="1392" spans="2:3" hidden="1" x14ac:dyDescent="0.2">
      <c r="B1392" s="2">
        <v>4885000000</v>
      </c>
      <c r="C1392" t="s">
        <v>36</v>
      </c>
    </row>
    <row r="1393" spans="2:3" x14ac:dyDescent="0.2">
      <c r="B1393" s="17">
        <v>23554000000</v>
      </c>
      <c r="C1393" s="16" t="s">
        <v>22</v>
      </c>
    </row>
    <row r="1394" spans="2:3" x14ac:dyDescent="0.2">
      <c r="B1394" s="17">
        <v>1148231000</v>
      </c>
      <c r="C1394" s="16" t="s">
        <v>22</v>
      </c>
    </row>
    <row r="1395" spans="2:3" x14ac:dyDescent="0.2">
      <c r="B1395" s="17">
        <v>1710966000</v>
      </c>
      <c r="C1395" s="16" t="s">
        <v>22</v>
      </c>
    </row>
    <row r="1396" spans="2:3" x14ac:dyDescent="0.2">
      <c r="B1396" s="17">
        <v>2610726000</v>
      </c>
      <c r="C1396" s="16" t="s">
        <v>22</v>
      </c>
    </row>
    <row r="1397" spans="2:3" hidden="1" x14ac:dyDescent="0.2">
      <c r="B1397" s="2">
        <v>1924400000</v>
      </c>
      <c r="C1397" t="s">
        <v>13</v>
      </c>
    </row>
    <row r="1398" spans="2:3" hidden="1" x14ac:dyDescent="0.2">
      <c r="B1398" s="2">
        <v>2372906000</v>
      </c>
      <c r="C1398" t="s">
        <v>13</v>
      </c>
    </row>
    <row r="1399" spans="2:3" hidden="1" x14ac:dyDescent="0.2">
      <c r="B1399" s="2">
        <v>2707115000</v>
      </c>
      <c r="C1399" t="s">
        <v>13</v>
      </c>
    </row>
    <row r="1400" spans="2:3" hidden="1" x14ac:dyDescent="0.2">
      <c r="B1400" s="2">
        <v>3171411000</v>
      </c>
      <c r="C1400" t="s">
        <v>13</v>
      </c>
    </row>
    <row r="1401" spans="2:3" x14ac:dyDescent="0.2">
      <c r="B1401" s="17">
        <v>1328817000</v>
      </c>
      <c r="C1401" s="16" t="s">
        <v>22</v>
      </c>
    </row>
    <row r="1402" spans="2:3" x14ac:dyDescent="0.2">
      <c r="B1402" s="17">
        <v>1534615000</v>
      </c>
      <c r="C1402" s="16" t="s">
        <v>22</v>
      </c>
    </row>
    <row r="1403" spans="2:3" x14ac:dyDescent="0.2">
      <c r="B1403" s="17">
        <v>1789489000</v>
      </c>
      <c r="C1403" s="16" t="s">
        <v>22</v>
      </c>
    </row>
    <row r="1404" spans="2:3" x14ac:dyDescent="0.2">
      <c r="B1404" s="17">
        <v>2052230000</v>
      </c>
      <c r="C1404" s="16" t="s">
        <v>22</v>
      </c>
    </row>
    <row r="1405" spans="2:3" hidden="1" x14ac:dyDescent="0.2">
      <c r="B1405" s="2">
        <v>5353197000</v>
      </c>
      <c r="C1405" t="s">
        <v>19</v>
      </c>
    </row>
    <row r="1406" spans="2:3" hidden="1" x14ac:dyDescent="0.2">
      <c r="B1406" s="2">
        <v>1603123000</v>
      </c>
      <c r="C1406" t="s">
        <v>19</v>
      </c>
    </row>
    <row r="1407" spans="2:3" hidden="1" x14ac:dyDescent="0.2">
      <c r="B1407" s="2">
        <v>2626141000</v>
      </c>
      <c r="C1407" t="s">
        <v>19</v>
      </c>
    </row>
    <row r="1408" spans="2:3" hidden="1" x14ac:dyDescent="0.2">
      <c r="B1408" s="2">
        <v>3050945000</v>
      </c>
      <c r="C1408" t="s">
        <v>19</v>
      </c>
    </row>
    <row r="1409" spans="2:3" hidden="1" x14ac:dyDescent="0.2">
      <c r="B1409" s="2">
        <v>73301000000</v>
      </c>
      <c r="C1409" t="s">
        <v>19</v>
      </c>
    </row>
    <row r="1410" spans="2:3" hidden="1" x14ac:dyDescent="0.2">
      <c r="B1410" s="2">
        <v>71279000000</v>
      </c>
      <c r="C1410" t="s">
        <v>19</v>
      </c>
    </row>
    <row r="1411" spans="2:3" hidden="1" x14ac:dyDescent="0.2">
      <c r="B1411" s="2">
        <v>72618000000</v>
      </c>
      <c r="C1411" t="s">
        <v>19</v>
      </c>
    </row>
    <row r="1412" spans="2:3" hidden="1" x14ac:dyDescent="0.2">
      <c r="B1412" s="2">
        <v>73785000000</v>
      </c>
      <c r="C1412" t="s">
        <v>19</v>
      </c>
    </row>
    <row r="1413" spans="2:3" hidden="1" x14ac:dyDescent="0.2">
      <c r="B1413" s="2">
        <v>3794249000</v>
      </c>
      <c r="C1413" t="s">
        <v>19</v>
      </c>
    </row>
    <row r="1414" spans="2:3" hidden="1" x14ac:dyDescent="0.2">
      <c r="B1414" s="2">
        <v>4031100000</v>
      </c>
      <c r="C1414" t="s">
        <v>19</v>
      </c>
    </row>
    <row r="1415" spans="2:3" hidden="1" x14ac:dyDescent="0.2">
      <c r="B1415" s="2">
        <v>4249900000</v>
      </c>
      <c r="C1415" t="s">
        <v>19</v>
      </c>
    </row>
    <row r="1416" spans="2:3" hidden="1" x14ac:dyDescent="0.2">
      <c r="B1416" s="2">
        <v>4104900000</v>
      </c>
      <c r="C1416" t="s">
        <v>19</v>
      </c>
    </row>
    <row r="1417" spans="2:3" hidden="1" x14ac:dyDescent="0.2">
      <c r="B1417" s="2">
        <v>25878372000</v>
      </c>
      <c r="C1417" t="s">
        <v>19</v>
      </c>
    </row>
    <row r="1418" spans="2:3" hidden="1" x14ac:dyDescent="0.2">
      <c r="B1418" s="2">
        <v>27422696000</v>
      </c>
      <c r="C1418" t="s">
        <v>19</v>
      </c>
    </row>
    <row r="1419" spans="2:3" hidden="1" x14ac:dyDescent="0.2">
      <c r="B1419" s="2">
        <v>29078407000</v>
      </c>
      <c r="C1419" t="s">
        <v>19</v>
      </c>
    </row>
    <row r="1420" spans="2:3" hidden="1" x14ac:dyDescent="0.2">
      <c r="B1420" s="2">
        <v>30944938000</v>
      </c>
      <c r="C1420" t="s">
        <v>19</v>
      </c>
    </row>
    <row r="1421" spans="2:3" hidden="1" x14ac:dyDescent="0.2">
      <c r="B1421" s="2">
        <v>3589516000</v>
      </c>
      <c r="C1421" t="s">
        <v>47</v>
      </c>
    </row>
    <row r="1422" spans="2:3" hidden="1" x14ac:dyDescent="0.2">
      <c r="B1422" s="2">
        <v>3494253000</v>
      </c>
      <c r="C1422" t="s">
        <v>47</v>
      </c>
    </row>
    <row r="1423" spans="2:3" hidden="1" x14ac:dyDescent="0.2">
      <c r="B1423" s="2">
        <v>3620095000</v>
      </c>
      <c r="C1423" t="s">
        <v>47</v>
      </c>
    </row>
    <row r="1424" spans="2:3" hidden="1" x14ac:dyDescent="0.2">
      <c r="B1424" s="2">
        <v>3766065000</v>
      </c>
      <c r="C1424" t="s">
        <v>47</v>
      </c>
    </row>
    <row r="1425" spans="2:3" hidden="1" x14ac:dyDescent="0.2">
      <c r="B1425" s="2">
        <v>12509900000</v>
      </c>
      <c r="C1425" t="s">
        <v>25</v>
      </c>
    </row>
    <row r="1426" spans="2:3" hidden="1" x14ac:dyDescent="0.2">
      <c r="B1426" s="2">
        <v>13090300000</v>
      </c>
      <c r="C1426" t="s">
        <v>25</v>
      </c>
    </row>
    <row r="1427" spans="2:3" hidden="1" x14ac:dyDescent="0.2">
      <c r="B1427" s="2">
        <v>16889600000</v>
      </c>
      <c r="C1427" t="s">
        <v>25</v>
      </c>
    </row>
    <row r="1428" spans="2:3" hidden="1" x14ac:dyDescent="0.2">
      <c r="B1428" s="2">
        <v>16965400000</v>
      </c>
      <c r="C1428" t="s">
        <v>25</v>
      </c>
    </row>
    <row r="1429" spans="2:3" hidden="1" x14ac:dyDescent="0.2">
      <c r="B1429" s="2">
        <v>763000000</v>
      </c>
      <c r="C1429" t="s">
        <v>19</v>
      </c>
    </row>
    <row r="1430" spans="2:3" hidden="1" x14ac:dyDescent="0.2">
      <c r="B1430" s="2">
        <v>945000000</v>
      </c>
      <c r="C1430" t="s">
        <v>19</v>
      </c>
    </row>
    <row r="1431" spans="2:3" hidden="1" x14ac:dyDescent="0.2">
      <c r="B1431" s="2">
        <v>1246000000</v>
      </c>
      <c r="C1431" t="s">
        <v>19</v>
      </c>
    </row>
    <row r="1432" spans="2:3" hidden="1" x14ac:dyDescent="0.2">
      <c r="B1432" s="2">
        <v>1492000000</v>
      </c>
      <c r="C1432" t="s">
        <v>19</v>
      </c>
    </row>
    <row r="1433" spans="2:3" hidden="1" x14ac:dyDescent="0.2">
      <c r="B1433" s="2">
        <v>26191000000</v>
      </c>
      <c r="C1433" t="s">
        <v>47</v>
      </c>
    </row>
    <row r="1434" spans="2:3" hidden="1" x14ac:dyDescent="0.2">
      <c r="B1434" s="2">
        <v>27174000000</v>
      </c>
      <c r="C1434" t="s">
        <v>47</v>
      </c>
    </row>
    <row r="1435" spans="2:3" hidden="1" x14ac:dyDescent="0.2">
      <c r="B1435" s="2">
        <v>26815000000</v>
      </c>
      <c r="C1435" t="s">
        <v>47</v>
      </c>
    </row>
    <row r="1436" spans="2:3" hidden="1" x14ac:dyDescent="0.2">
      <c r="B1436" s="2">
        <v>27625000000</v>
      </c>
      <c r="C1436" t="s">
        <v>47</v>
      </c>
    </row>
    <row r="1437" spans="2:3" hidden="1" x14ac:dyDescent="0.2">
      <c r="B1437" s="2">
        <v>4664120000</v>
      </c>
      <c r="C1437" t="s">
        <v>19</v>
      </c>
    </row>
    <row r="1438" spans="2:3" hidden="1" x14ac:dyDescent="0.2">
      <c r="B1438" s="2">
        <v>5164784000</v>
      </c>
      <c r="C1438" t="s">
        <v>19</v>
      </c>
    </row>
    <row r="1439" spans="2:3" hidden="1" x14ac:dyDescent="0.2">
      <c r="B1439" s="2">
        <v>5711715000</v>
      </c>
      <c r="C1439" t="s">
        <v>19</v>
      </c>
    </row>
    <row r="1440" spans="2:3" hidden="1" x14ac:dyDescent="0.2">
      <c r="B1440" s="2">
        <v>6226507000</v>
      </c>
      <c r="C1440" t="s">
        <v>19</v>
      </c>
    </row>
    <row r="1441" spans="2:3" hidden="1" x14ac:dyDescent="0.2">
      <c r="B1441" s="2">
        <v>34374000000</v>
      </c>
      <c r="C1441" t="s">
        <v>36</v>
      </c>
    </row>
    <row r="1442" spans="2:3" hidden="1" x14ac:dyDescent="0.2">
      <c r="B1442" s="2">
        <v>37580000000</v>
      </c>
      <c r="C1442" t="s">
        <v>36</v>
      </c>
    </row>
    <row r="1443" spans="2:3" hidden="1" x14ac:dyDescent="0.2">
      <c r="B1443" s="2">
        <v>41373000000</v>
      </c>
      <c r="C1443" t="s">
        <v>36</v>
      </c>
    </row>
    <row r="1444" spans="2:3" hidden="1" x14ac:dyDescent="0.2">
      <c r="B1444" s="2">
        <v>36881000000</v>
      </c>
      <c r="C1444" t="s">
        <v>36</v>
      </c>
    </row>
    <row r="1445" spans="2:3" x14ac:dyDescent="0.2">
      <c r="B1445" s="17">
        <v>14351000000</v>
      </c>
      <c r="C1445" s="16" t="s">
        <v>22</v>
      </c>
    </row>
    <row r="1446" spans="2:3" x14ac:dyDescent="0.2">
      <c r="B1446" s="17">
        <v>13724000000</v>
      </c>
      <c r="C1446" s="16" t="s">
        <v>22</v>
      </c>
    </row>
    <row r="1447" spans="2:3" x14ac:dyDescent="0.2">
      <c r="B1447" s="17">
        <v>13739000000</v>
      </c>
      <c r="C1447" s="16" t="s">
        <v>22</v>
      </c>
    </row>
    <row r="1448" spans="2:3" x14ac:dyDescent="0.2">
      <c r="B1448" s="17">
        <v>11160000000</v>
      </c>
      <c r="C1448" s="16" t="s">
        <v>22</v>
      </c>
    </row>
    <row r="1449" spans="2:3" x14ac:dyDescent="0.2">
      <c r="B1449" s="17">
        <v>1792000000</v>
      </c>
      <c r="C1449" s="16" t="s">
        <v>22</v>
      </c>
    </row>
    <row r="1450" spans="2:3" x14ac:dyDescent="0.2">
      <c r="B1450" s="17">
        <v>2291500000</v>
      </c>
      <c r="C1450" s="16" t="s">
        <v>22</v>
      </c>
    </row>
    <row r="1451" spans="2:3" x14ac:dyDescent="0.2">
      <c r="B1451" s="17">
        <v>3258400000</v>
      </c>
      <c r="C1451" s="16" t="s">
        <v>22</v>
      </c>
    </row>
    <row r="1452" spans="2:3" x14ac:dyDescent="0.2">
      <c r="B1452" s="17">
        <v>3289000000</v>
      </c>
      <c r="C1452" s="16" t="s">
        <v>22</v>
      </c>
    </row>
    <row r="1453" spans="2:3" x14ac:dyDescent="0.2">
      <c r="B1453" s="17">
        <v>6906000000</v>
      </c>
      <c r="C1453" s="16" t="s">
        <v>22</v>
      </c>
    </row>
    <row r="1454" spans="2:3" x14ac:dyDescent="0.2">
      <c r="B1454" s="17">
        <v>4183000000</v>
      </c>
      <c r="C1454" s="16" t="s">
        <v>22</v>
      </c>
    </row>
    <row r="1455" spans="2:3" x14ac:dyDescent="0.2">
      <c r="B1455" s="17">
        <v>3956000000</v>
      </c>
      <c r="C1455" s="16" t="s">
        <v>22</v>
      </c>
    </row>
    <row r="1456" spans="2:3" x14ac:dyDescent="0.2">
      <c r="B1456" s="17">
        <v>3600000000</v>
      </c>
      <c r="C1456" s="16" t="s">
        <v>22</v>
      </c>
    </row>
    <row r="1457" spans="2:3" hidden="1" x14ac:dyDescent="0.2">
      <c r="B1457" s="2">
        <v>12237000000</v>
      </c>
      <c r="C1457" t="s">
        <v>13</v>
      </c>
    </row>
    <row r="1458" spans="2:3" hidden="1" x14ac:dyDescent="0.2">
      <c r="B1458" s="2">
        <v>12104000000</v>
      </c>
      <c r="C1458" t="s">
        <v>13</v>
      </c>
    </row>
    <row r="1459" spans="2:3" hidden="1" x14ac:dyDescent="0.2">
      <c r="B1459" s="2">
        <v>13878000000</v>
      </c>
      <c r="C1459" t="s">
        <v>13</v>
      </c>
    </row>
    <row r="1460" spans="2:3" hidden="1" x14ac:dyDescent="0.2">
      <c r="B1460" s="2">
        <v>13423000000</v>
      </c>
      <c r="C1460" t="s">
        <v>13</v>
      </c>
    </row>
    <row r="1461" spans="2:3" hidden="1" x14ac:dyDescent="0.2">
      <c r="B1461" s="2">
        <v>1834921000</v>
      </c>
      <c r="C1461" t="s">
        <v>19</v>
      </c>
    </row>
    <row r="1462" spans="2:3" hidden="1" x14ac:dyDescent="0.2">
      <c r="B1462" s="2">
        <v>2332051000</v>
      </c>
      <c r="C1462" t="s">
        <v>19</v>
      </c>
    </row>
    <row r="1463" spans="2:3" hidden="1" x14ac:dyDescent="0.2">
      <c r="B1463" s="2">
        <v>3084370000</v>
      </c>
      <c r="C1463" t="s">
        <v>19</v>
      </c>
    </row>
    <row r="1464" spans="2:3" hidden="1" x14ac:dyDescent="0.2">
      <c r="B1464" s="2">
        <v>3963313000</v>
      </c>
      <c r="C1464" t="s">
        <v>19</v>
      </c>
    </row>
    <row r="1465" spans="2:3" hidden="1" x14ac:dyDescent="0.2">
      <c r="B1465" s="2">
        <v>1834921000</v>
      </c>
      <c r="C1465" t="s">
        <v>19</v>
      </c>
    </row>
    <row r="1466" spans="2:3" hidden="1" x14ac:dyDescent="0.2">
      <c r="B1466" s="2">
        <v>2332051000</v>
      </c>
      <c r="C1466" t="s">
        <v>19</v>
      </c>
    </row>
    <row r="1467" spans="2:3" hidden="1" x14ac:dyDescent="0.2">
      <c r="B1467" s="2">
        <v>3084370000</v>
      </c>
      <c r="C1467" t="s">
        <v>19</v>
      </c>
    </row>
    <row r="1468" spans="2:3" hidden="1" x14ac:dyDescent="0.2">
      <c r="B1468" s="2">
        <v>3963313000</v>
      </c>
      <c r="C1468" t="s">
        <v>19</v>
      </c>
    </row>
    <row r="1469" spans="2:3" hidden="1" x14ac:dyDescent="0.2">
      <c r="B1469" s="2">
        <v>37152000000</v>
      </c>
      <c r="C1469" t="s">
        <v>13</v>
      </c>
    </row>
    <row r="1470" spans="2:3" hidden="1" x14ac:dyDescent="0.2">
      <c r="B1470" s="2">
        <v>38279000000</v>
      </c>
      <c r="C1470" t="s">
        <v>13</v>
      </c>
    </row>
    <row r="1471" spans="2:3" hidden="1" x14ac:dyDescent="0.2">
      <c r="B1471" s="2">
        <v>38901000000</v>
      </c>
      <c r="C1471" t="s">
        <v>13</v>
      </c>
    </row>
    <row r="1472" spans="2:3" hidden="1" x14ac:dyDescent="0.2">
      <c r="B1472" s="2">
        <v>37864000000</v>
      </c>
      <c r="C1472" t="s">
        <v>13</v>
      </c>
    </row>
    <row r="1473" spans="2:3" hidden="1" x14ac:dyDescent="0.2">
      <c r="B1473" s="2">
        <v>716612000</v>
      </c>
      <c r="C1473" t="s">
        <v>52</v>
      </c>
    </row>
    <row r="1474" spans="2:3" hidden="1" x14ac:dyDescent="0.2">
      <c r="B1474" s="2">
        <v>758926000</v>
      </c>
      <c r="C1474" t="s">
        <v>52</v>
      </c>
    </row>
    <row r="1475" spans="2:3" hidden="1" x14ac:dyDescent="0.2">
      <c r="B1475" s="2">
        <v>818046000</v>
      </c>
      <c r="C1475" t="s">
        <v>52</v>
      </c>
    </row>
    <row r="1476" spans="2:3" hidden="1" x14ac:dyDescent="0.2">
      <c r="B1476" s="2">
        <v>894638000</v>
      </c>
      <c r="C1476" t="s">
        <v>52</v>
      </c>
    </row>
    <row r="1477" spans="2:3" hidden="1" x14ac:dyDescent="0.2">
      <c r="B1477" s="2">
        <v>2220256000</v>
      </c>
      <c r="C1477" t="s">
        <v>19</v>
      </c>
    </row>
    <row r="1478" spans="2:3" hidden="1" x14ac:dyDescent="0.2">
      <c r="B1478" s="2">
        <v>2670573000</v>
      </c>
      <c r="C1478" t="s">
        <v>19</v>
      </c>
    </row>
    <row r="1479" spans="2:3" hidden="1" x14ac:dyDescent="0.2">
      <c r="B1479" s="2">
        <v>3241369000</v>
      </c>
      <c r="C1479" t="s">
        <v>19</v>
      </c>
    </row>
    <row r="1480" spans="2:3" hidden="1" x14ac:dyDescent="0.2">
      <c r="B1480" s="2">
        <v>3924116000</v>
      </c>
      <c r="C1480" t="s">
        <v>19</v>
      </c>
    </row>
    <row r="1481" spans="2:3" hidden="1" x14ac:dyDescent="0.2">
      <c r="B1481" s="2">
        <v>122489000000</v>
      </c>
      <c r="C1481" t="s">
        <v>25</v>
      </c>
    </row>
    <row r="1482" spans="2:3" hidden="1" x14ac:dyDescent="0.2">
      <c r="B1482" s="2">
        <v>130474000000</v>
      </c>
      <c r="C1482" t="s">
        <v>25</v>
      </c>
    </row>
    <row r="1483" spans="2:3" hidden="1" x14ac:dyDescent="0.2">
      <c r="B1483" s="2">
        <v>157107000000</v>
      </c>
      <c r="C1483" t="s">
        <v>25</v>
      </c>
    </row>
    <row r="1484" spans="2:3" hidden="1" x14ac:dyDescent="0.2">
      <c r="B1484" s="2">
        <v>184840000000</v>
      </c>
      <c r="C1484" t="s">
        <v>25</v>
      </c>
    </row>
    <row r="1485" spans="2:3" hidden="1" x14ac:dyDescent="0.2">
      <c r="B1485" s="2">
        <v>10515400000</v>
      </c>
      <c r="C1485" t="s">
        <v>47</v>
      </c>
    </row>
    <row r="1486" spans="2:3" hidden="1" x14ac:dyDescent="0.2">
      <c r="B1486" s="2">
        <v>10368600000</v>
      </c>
      <c r="C1486" t="s">
        <v>47</v>
      </c>
    </row>
    <row r="1487" spans="2:3" hidden="1" x14ac:dyDescent="0.2">
      <c r="B1487" s="2">
        <v>10524500000</v>
      </c>
      <c r="C1487" t="s">
        <v>47</v>
      </c>
    </row>
    <row r="1488" spans="2:3" hidden="1" x14ac:dyDescent="0.2">
      <c r="B1488" s="2">
        <v>10731300000</v>
      </c>
      <c r="C1488" t="s">
        <v>47</v>
      </c>
    </row>
    <row r="1489" spans="2:3" hidden="1" x14ac:dyDescent="0.2">
      <c r="B1489" s="2">
        <v>21963000000</v>
      </c>
      <c r="C1489" t="s">
        <v>13</v>
      </c>
    </row>
    <row r="1490" spans="2:3" hidden="1" x14ac:dyDescent="0.2">
      <c r="B1490" s="2">
        <v>23988000000</v>
      </c>
      <c r="C1490" t="s">
        <v>13</v>
      </c>
    </row>
    <row r="1491" spans="2:3" hidden="1" x14ac:dyDescent="0.2">
      <c r="B1491" s="2">
        <v>21813000000</v>
      </c>
      <c r="C1491" t="s">
        <v>13</v>
      </c>
    </row>
    <row r="1492" spans="2:3" hidden="1" x14ac:dyDescent="0.2">
      <c r="B1492" s="2">
        <v>19941000000</v>
      </c>
      <c r="C1492" t="s">
        <v>13</v>
      </c>
    </row>
    <row r="1493" spans="2:3" hidden="1" x14ac:dyDescent="0.2">
      <c r="B1493" s="2">
        <v>54127000000</v>
      </c>
      <c r="C1493" t="s">
        <v>13</v>
      </c>
    </row>
    <row r="1494" spans="2:3" hidden="1" x14ac:dyDescent="0.2">
      <c r="B1494" s="2">
        <v>55438000000</v>
      </c>
      <c r="C1494" t="s">
        <v>13</v>
      </c>
    </row>
    <row r="1495" spans="2:3" hidden="1" x14ac:dyDescent="0.2">
      <c r="B1495" s="2">
        <v>58232000000</v>
      </c>
      <c r="C1495" t="s">
        <v>13</v>
      </c>
    </row>
    <row r="1496" spans="2:3" hidden="1" x14ac:dyDescent="0.2">
      <c r="B1496" s="2">
        <v>58363000000</v>
      </c>
      <c r="C1496" t="s">
        <v>13</v>
      </c>
    </row>
    <row r="1497" spans="2:3" hidden="1" x14ac:dyDescent="0.2">
      <c r="B1497" s="2">
        <v>2794925000</v>
      </c>
      <c r="C1497" t="s">
        <v>19</v>
      </c>
    </row>
    <row r="1498" spans="2:3" hidden="1" x14ac:dyDescent="0.2">
      <c r="B1498" s="2">
        <v>3086608000</v>
      </c>
      <c r="C1498" t="s">
        <v>19</v>
      </c>
    </row>
    <row r="1499" spans="2:3" hidden="1" x14ac:dyDescent="0.2">
      <c r="B1499" s="2">
        <v>3323077000</v>
      </c>
      <c r="C1499" t="s">
        <v>19</v>
      </c>
    </row>
    <row r="1500" spans="2:3" hidden="1" x14ac:dyDescent="0.2">
      <c r="B1500" s="2">
        <v>3445134000</v>
      </c>
      <c r="C1500" t="s">
        <v>19</v>
      </c>
    </row>
    <row r="1501" spans="2:3" hidden="1" x14ac:dyDescent="0.2">
      <c r="B1501" s="2">
        <v>2436948000</v>
      </c>
      <c r="C1501" t="s">
        <v>47</v>
      </c>
    </row>
    <row r="1502" spans="2:3" hidden="1" x14ac:dyDescent="0.2">
      <c r="B1502" s="2">
        <v>2473500000</v>
      </c>
      <c r="C1502" t="s">
        <v>47</v>
      </c>
    </row>
    <row r="1503" spans="2:3" hidden="1" x14ac:dyDescent="0.2">
      <c r="B1503" s="2">
        <v>2371200000</v>
      </c>
      <c r="C1503" t="s">
        <v>47</v>
      </c>
    </row>
    <row r="1504" spans="2:3" hidden="1" x14ac:dyDescent="0.2">
      <c r="B1504" s="2">
        <v>2220300000</v>
      </c>
      <c r="C1504" t="s">
        <v>47</v>
      </c>
    </row>
    <row r="1505" spans="2:3" hidden="1" x14ac:dyDescent="0.2">
      <c r="B1505" s="2">
        <v>56600000000</v>
      </c>
      <c r="C1505" t="s">
        <v>13</v>
      </c>
    </row>
    <row r="1506" spans="2:3" hidden="1" x14ac:dyDescent="0.2">
      <c r="B1506" s="2">
        <v>57900000000</v>
      </c>
      <c r="C1506" t="s">
        <v>13</v>
      </c>
    </row>
    <row r="1507" spans="2:3" hidden="1" x14ac:dyDescent="0.2">
      <c r="B1507" s="2">
        <v>56098000000</v>
      </c>
      <c r="C1507" t="s">
        <v>13</v>
      </c>
    </row>
    <row r="1508" spans="2:3" hidden="1" x14ac:dyDescent="0.2">
      <c r="B1508" s="2">
        <v>57244000000</v>
      </c>
      <c r="C1508" t="s">
        <v>13</v>
      </c>
    </row>
    <row r="1509" spans="2:3" x14ac:dyDescent="0.2">
      <c r="B1509" s="17">
        <v>2665000000</v>
      </c>
      <c r="C1509" s="16" t="s">
        <v>22</v>
      </c>
    </row>
    <row r="1510" spans="2:3" x14ac:dyDescent="0.2">
      <c r="B1510" s="17">
        <v>2692000000</v>
      </c>
      <c r="C1510" s="16" t="s">
        <v>22</v>
      </c>
    </row>
    <row r="1511" spans="2:3" x14ac:dyDescent="0.2">
      <c r="B1511" s="17">
        <v>2732000000</v>
      </c>
      <c r="C1511" s="16" t="s">
        <v>22</v>
      </c>
    </row>
    <row r="1512" spans="2:3" x14ac:dyDescent="0.2">
      <c r="B1512" s="17">
        <v>2530000000</v>
      </c>
      <c r="C1512" s="16" t="s">
        <v>22</v>
      </c>
    </row>
    <row r="1513" spans="2:3" hidden="1" x14ac:dyDescent="0.2">
      <c r="B1513" s="2">
        <v>2942897000</v>
      </c>
      <c r="C1513" t="s">
        <v>25</v>
      </c>
    </row>
    <row r="1514" spans="2:3" hidden="1" x14ac:dyDescent="0.2">
      <c r="B1514" s="2">
        <v>3049800000</v>
      </c>
      <c r="C1514" t="s">
        <v>25</v>
      </c>
    </row>
    <row r="1515" spans="2:3" hidden="1" x14ac:dyDescent="0.2">
      <c r="B1515" s="2">
        <v>3099100000</v>
      </c>
      <c r="C1515" t="s">
        <v>25</v>
      </c>
    </row>
    <row r="1516" spans="2:3" hidden="1" x14ac:dyDescent="0.2">
      <c r="B1516" s="2">
        <v>3217800000</v>
      </c>
      <c r="C1516" t="s">
        <v>25</v>
      </c>
    </row>
    <row r="1517" spans="2:3" hidden="1" x14ac:dyDescent="0.2">
      <c r="B1517" s="2">
        <v>10879855000</v>
      </c>
      <c r="C1517" t="s">
        <v>19</v>
      </c>
    </row>
    <row r="1518" spans="2:3" hidden="1" x14ac:dyDescent="0.2">
      <c r="B1518" s="2">
        <v>11419648000</v>
      </c>
      <c r="C1518" t="s">
        <v>19</v>
      </c>
    </row>
    <row r="1519" spans="2:3" hidden="1" x14ac:dyDescent="0.2">
      <c r="B1519" s="2">
        <v>12282161000</v>
      </c>
      <c r="C1519" t="s">
        <v>19</v>
      </c>
    </row>
    <row r="1520" spans="2:3" hidden="1" x14ac:dyDescent="0.2">
      <c r="B1520" s="2">
        <v>12376744000</v>
      </c>
      <c r="C1520" t="s">
        <v>19</v>
      </c>
    </row>
    <row r="1521" spans="2:3" hidden="1" x14ac:dyDescent="0.2">
      <c r="B1521" s="2">
        <v>13794000000</v>
      </c>
      <c r="C1521" t="s">
        <v>19</v>
      </c>
    </row>
    <row r="1522" spans="2:3" hidden="1" x14ac:dyDescent="0.2">
      <c r="B1522" s="2">
        <v>13783000000</v>
      </c>
      <c r="C1522" t="s">
        <v>19</v>
      </c>
    </row>
    <row r="1523" spans="2:3" hidden="1" x14ac:dyDescent="0.2">
      <c r="B1523" s="2">
        <v>13268000000</v>
      </c>
      <c r="C1523" t="s">
        <v>19</v>
      </c>
    </row>
    <row r="1524" spans="2:3" hidden="1" x14ac:dyDescent="0.2">
      <c r="B1524" s="2">
        <v>12488000000</v>
      </c>
      <c r="C1524" t="s">
        <v>19</v>
      </c>
    </row>
    <row r="1525" spans="2:3" x14ac:dyDescent="0.2">
      <c r="B1525" s="17">
        <v>11390000000</v>
      </c>
      <c r="C1525" s="16" t="s">
        <v>22</v>
      </c>
    </row>
    <row r="1526" spans="2:3" x14ac:dyDescent="0.2">
      <c r="B1526" s="17">
        <v>11973000000</v>
      </c>
      <c r="C1526" s="16" t="s">
        <v>22</v>
      </c>
    </row>
    <row r="1527" spans="2:3" x14ac:dyDescent="0.2">
      <c r="B1527" s="17">
        <v>12233000000</v>
      </c>
      <c r="C1527" s="16" t="s">
        <v>22</v>
      </c>
    </row>
    <row r="1528" spans="2:3" x14ac:dyDescent="0.2">
      <c r="B1528" s="17">
        <v>12238000000</v>
      </c>
      <c r="C1528" s="16" t="s">
        <v>22</v>
      </c>
    </row>
    <row r="1529" spans="2:3" hidden="1" x14ac:dyDescent="0.2">
      <c r="B1529" s="2">
        <v>2567310000</v>
      </c>
      <c r="C1529" t="s">
        <v>59</v>
      </c>
    </row>
    <row r="1530" spans="2:3" hidden="1" x14ac:dyDescent="0.2">
      <c r="B1530" s="2">
        <v>2770709000</v>
      </c>
      <c r="C1530" t="s">
        <v>59</v>
      </c>
    </row>
    <row r="1531" spans="2:3" hidden="1" x14ac:dyDescent="0.2">
      <c r="B1531" s="2">
        <v>2994169000</v>
      </c>
      <c r="C1531" t="s">
        <v>59</v>
      </c>
    </row>
    <row r="1532" spans="2:3" hidden="1" x14ac:dyDescent="0.2">
      <c r="B1532" s="2">
        <v>3422181000</v>
      </c>
      <c r="C1532" t="s">
        <v>59</v>
      </c>
    </row>
    <row r="1533" spans="2:3" hidden="1" x14ac:dyDescent="0.2">
      <c r="B1533" s="2">
        <v>2299176000</v>
      </c>
      <c r="C1533" t="s">
        <v>52</v>
      </c>
    </row>
    <row r="1534" spans="2:3" hidden="1" x14ac:dyDescent="0.2">
      <c r="B1534" s="2">
        <v>2312512000</v>
      </c>
      <c r="C1534" t="s">
        <v>52</v>
      </c>
    </row>
    <row r="1535" spans="2:3" hidden="1" x14ac:dyDescent="0.2">
      <c r="B1535" s="2">
        <v>2502267000</v>
      </c>
      <c r="C1535" t="s">
        <v>52</v>
      </c>
    </row>
    <row r="1536" spans="2:3" hidden="1" x14ac:dyDescent="0.2">
      <c r="B1536" s="2">
        <v>2506202000</v>
      </c>
      <c r="C1536" t="s">
        <v>52</v>
      </c>
    </row>
    <row r="1537" spans="2:3" hidden="1" x14ac:dyDescent="0.2">
      <c r="B1537" s="2">
        <v>1407848000</v>
      </c>
      <c r="C1537" t="s">
        <v>13</v>
      </c>
    </row>
    <row r="1538" spans="2:3" hidden="1" x14ac:dyDescent="0.2">
      <c r="B1538" s="2">
        <v>1595703000</v>
      </c>
      <c r="C1538" t="s">
        <v>13</v>
      </c>
    </row>
    <row r="1539" spans="2:3" hidden="1" x14ac:dyDescent="0.2">
      <c r="B1539" s="2">
        <v>1746726000</v>
      </c>
      <c r="C1539" t="s">
        <v>13</v>
      </c>
    </row>
    <row r="1540" spans="2:3" hidden="1" x14ac:dyDescent="0.2">
      <c r="B1540" s="2">
        <v>2068010000</v>
      </c>
      <c r="C1540" t="s">
        <v>13</v>
      </c>
    </row>
    <row r="1541" spans="2:3" x14ac:dyDescent="0.2">
      <c r="B1541" s="17">
        <v>1793557000</v>
      </c>
      <c r="C1541" s="16" t="s">
        <v>22</v>
      </c>
    </row>
    <row r="1542" spans="2:3" x14ac:dyDescent="0.2">
      <c r="B1542" s="17">
        <v>2064305000</v>
      </c>
      <c r="C1542" s="16" t="s">
        <v>22</v>
      </c>
    </row>
    <row r="1543" spans="2:3" x14ac:dyDescent="0.2">
      <c r="B1543" s="17">
        <v>2446877000</v>
      </c>
      <c r="C1543" s="16" t="s">
        <v>22</v>
      </c>
    </row>
    <row r="1544" spans="2:3" x14ac:dyDescent="0.2">
      <c r="B1544" s="17">
        <v>2779541000</v>
      </c>
      <c r="C1544" s="16" t="s">
        <v>22</v>
      </c>
    </row>
    <row r="1545" spans="2:3" hidden="1" x14ac:dyDescent="0.2">
      <c r="B1545" s="2">
        <v>1527042000</v>
      </c>
      <c r="C1545" t="s">
        <v>25</v>
      </c>
    </row>
    <row r="1546" spans="2:3" hidden="1" x14ac:dyDescent="0.2">
      <c r="B1546" s="2">
        <v>1211975000</v>
      </c>
      <c r="C1546" t="s">
        <v>25</v>
      </c>
    </row>
    <row r="1547" spans="2:3" hidden="1" x14ac:dyDescent="0.2">
      <c r="B1547" s="2">
        <v>580415000</v>
      </c>
      <c r="C1547" t="s">
        <v>25</v>
      </c>
    </row>
    <row r="1548" spans="2:3" hidden="1" x14ac:dyDescent="0.2">
      <c r="B1548" s="2">
        <v>1032336000</v>
      </c>
      <c r="C1548" t="s">
        <v>25</v>
      </c>
    </row>
    <row r="1549" spans="2:3" hidden="1" x14ac:dyDescent="0.2">
      <c r="B1549" s="2">
        <v>2514595000</v>
      </c>
      <c r="C1549" t="s">
        <v>52</v>
      </c>
    </row>
    <row r="1550" spans="2:3" hidden="1" x14ac:dyDescent="0.2">
      <c r="B1550" s="2">
        <v>2772550000</v>
      </c>
      <c r="C1550" t="s">
        <v>52</v>
      </c>
    </row>
    <row r="1551" spans="2:3" hidden="1" x14ac:dyDescent="0.2">
      <c r="B1551" s="2">
        <v>3285346000</v>
      </c>
      <c r="C1551" t="s">
        <v>52</v>
      </c>
    </row>
    <row r="1552" spans="2:3" hidden="1" x14ac:dyDescent="0.2">
      <c r="B1552" s="2">
        <v>3442646000</v>
      </c>
      <c r="C1552" t="s">
        <v>52</v>
      </c>
    </row>
    <row r="1553" spans="2:3" hidden="1" x14ac:dyDescent="0.2">
      <c r="B1553" s="2">
        <v>115846000000</v>
      </c>
      <c r="C1553" t="s">
        <v>182</v>
      </c>
    </row>
    <row r="1554" spans="2:3" hidden="1" x14ac:dyDescent="0.2">
      <c r="B1554" s="2">
        <v>120550000000</v>
      </c>
      <c r="C1554" t="s">
        <v>182</v>
      </c>
    </row>
    <row r="1555" spans="2:3" hidden="1" x14ac:dyDescent="0.2">
      <c r="B1555" s="2">
        <v>127079000000</v>
      </c>
      <c r="C1555" t="s">
        <v>182</v>
      </c>
    </row>
    <row r="1556" spans="2:3" hidden="1" x14ac:dyDescent="0.2">
      <c r="B1556" s="2">
        <v>131620000000</v>
      </c>
      <c r="C1556" t="s">
        <v>182</v>
      </c>
    </row>
    <row r="1557" spans="2:3" hidden="1" x14ac:dyDescent="0.2">
      <c r="B1557" s="2">
        <v>1843641000</v>
      </c>
      <c r="C1557" t="s">
        <v>25</v>
      </c>
    </row>
    <row r="1558" spans="2:3" hidden="1" x14ac:dyDescent="0.2">
      <c r="B1558" s="2">
        <v>1904218000</v>
      </c>
      <c r="C1558" t="s">
        <v>25</v>
      </c>
    </row>
    <row r="1559" spans="2:3" hidden="1" x14ac:dyDescent="0.2">
      <c r="B1559" s="2">
        <v>1989344000</v>
      </c>
      <c r="C1559" t="s">
        <v>25</v>
      </c>
    </row>
    <row r="1560" spans="2:3" hidden="1" x14ac:dyDescent="0.2">
      <c r="B1560" s="2">
        <v>2042332000</v>
      </c>
      <c r="C1560" t="s">
        <v>25</v>
      </c>
    </row>
    <row r="1561" spans="2:3" x14ac:dyDescent="0.2">
      <c r="B1561" s="17">
        <v>12825000000</v>
      </c>
      <c r="C1561" s="16" t="s">
        <v>22</v>
      </c>
    </row>
    <row r="1562" spans="2:3" x14ac:dyDescent="0.2">
      <c r="B1562" s="17">
        <v>12205000000</v>
      </c>
      <c r="C1562" s="16" t="s">
        <v>22</v>
      </c>
    </row>
    <row r="1563" spans="2:3" x14ac:dyDescent="0.2">
      <c r="B1563" s="17">
        <v>13045000000</v>
      </c>
      <c r="C1563" s="16" t="s">
        <v>22</v>
      </c>
    </row>
    <row r="1564" spans="2:3" x14ac:dyDescent="0.2">
      <c r="B1564" s="17">
        <v>13000000000</v>
      </c>
      <c r="C1564" s="16" t="s">
        <v>22</v>
      </c>
    </row>
    <row r="1565" spans="2:3" hidden="1" x14ac:dyDescent="0.2">
      <c r="B1565" s="2">
        <v>4246400000</v>
      </c>
      <c r="C1565" t="s">
        <v>42</v>
      </c>
    </row>
    <row r="1566" spans="2:3" hidden="1" x14ac:dyDescent="0.2">
      <c r="B1566" s="2">
        <v>4519000000</v>
      </c>
      <c r="C1566" t="s">
        <v>42</v>
      </c>
    </row>
    <row r="1567" spans="2:3" hidden="1" x14ac:dyDescent="0.2">
      <c r="B1567" s="2">
        <v>4997100000</v>
      </c>
      <c r="C1567" t="s">
        <v>42</v>
      </c>
    </row>
    <row r="1568" spans="2:3" hidden="1" x14ac:dyDescent="0.2">
      <c r="B1568" s="2">
        <v>5926100000</v>
      </c>
      <c r="C1568" t="s">
        <v>42</v>
      </c>
    </row>
    <row r="1569" spans="2:3" hidden="1" x14ac:dyDescent="0.2">
      <c r="B1569" s="2">
        <v>91247000000</v>
      </c>
      <c r="C1569" t="s">
        <v>47</v>
      </c>
    </row>
    <row r="1570" spans="2:3" hidden="1" x14ac:dyDescent="0.2">
      <c r="B1570" s="2">
        <v>88069000000</v>
      </c>
      <c r="C1570" t="s">
        <v>47</v>
      </c>
    </row>
    <row r="1571" spans="2:3" hidden="1" x14ac:dyDescent="0.2">
      <c r="B1571" s="2">
        <v>88372000000</v>
      </c>
      <c r="C1571" t="s">
        <v>47</v>
      </c>
    </row>
    <row r="1572" spans="2:3" hidden="1" x14ac:dyDescent="0.2">
      <c r="B1572" s="2">
        <v>90033000000</v>
      </c>
      <c r="C1572" t="s">
        <v>47</v>
      </c>
    </row>
    <row r="1573" spans="2:3" hidden="1" x14ac:dyDescent="0.2">
      <c r="B1573" s="2">
        <v>12917000000</v>
      </c>
      <c r="C1573" t="s">
        <v>36</v>
      </c>
    </row>
    <row r="1574" spans="2:3" hidden="1" x14ac:dyDescent="0.2">
      <c r="B1574" s="2">
        <v>14194000000</v>
      </c>
      <c r="C1574" t="s">
        <v>36</v>
      </c>
    </row>
    <row r="1575" spans="2:3" hidden="1" x14ac:dyDescent="0.2">
      <c r="B1575" s="2">
        <v>15389000000</v>
      </c>
      <c r="C1575" t="s">
        <v>36</v>
      </c>
    </row>
    <row r="1576" spans="2:3" hidden="1" x14ac:dyDescent="0.2">
      <c r="B1576" s="2">
        <v>15724000000</v>
      </c>
      <c r="C1576" t="s">
        <v>36</v>
      </c>
    </row>
    <row r="1577" spans="2:3" hidden="1" x14ac:dyDescent="0.2">
      <c r="B1577" s="2">
        <v>18769000000</v>
      </c>
      <c r="C1577" t="s">
        <v>19</v>
      </c>
    </row>
    <row r="1578" spans="2:3" hidden="1" x14ac:dyDescent="0.2">
      <c r="B1578" s="2">
        <v>19872000000</v>
      </c>
      <c r="C1578" t="s">
        <v>19</v>
      </c>
    </row>
    <row r="1579" spans="2:3" hidden="1" x14ac:dyDescent="0.2">
      <c r="B1579" s="2">
        <v>20891000000</v>
      </c>
      <c r="C1579" t="s">
        <v>19</v>
      </c>
    </row>
    <row r="1580" spans="2:3" hidden="1" x14ac:dyDescent="0.2">
      <c r="B1580" s="2">
        <v>20718000000</v>
      </c>
      <c r="C1580" t="s">
        <v>19</v>
      </c>
    </row>
    <row r="1581" spans="2:3" hidden="1" x14ac:dyDescent="0.2">
      <c r="B1581" s="2">
        <v>13983000000</v>
      </c>
      <c r="C1581" t="s">
        <v>13</v>
      </c>
    </row>
    <row r="1582" spans="2:3" hidden="1" x14ac:dyDescent="0.2">
      <c r="B1582" s="2">
        <v>13996000000</v>
      </c>
      <c r="C1582" t="s">
        <v>13</v>
      </c>
    </row>
    <row r="1583" spans="2:3" hidden="1" x14ac:dyDescent="0.2">
      <c r="B1583" s="2">
        <v>12961000000</v>
      </c>
      <c r="C1583" t="s">
        <v>13</v>
      </c>
    </row>
    <row r="1584" spans="2:3" hidden="1" x14ac:dyDescent="0.2">
      <c r="B1584" s="2">
        <v>13609000000</v>
      </c>
      <c r="C1584" t="s">
        <v>13</v>
      </c>
    </row>
    <row r="1585" spans="2:3" x14ac:dyDescent="0.2">
      <c r="B1585" s="17">
        <v>11778000000</v>
      </c>
      <c r="C1585" s="16" t="s">
        <v>22</v>
      </c>
    </row>
    <row r="1586" spans="2:3" x14ac:dyDescent="0.2">
      <c r="B1586" s="17">
        <v>12702000000</v>
      </c>
      <c r="C1586" s="16" t="s">
        <v>22</v>
      </c>
    </row>
    <row r="1587" spans="2:3" x14ac:dyDescent="0.2">
      <c r="B1587" s="17">
        <v>13880000000</v>
      </c>
      <c r="C1587" s="16" t="s">
        <v>22</v>
      </c>
    </row>
    <row r="1588" spans="2:3" x14ac:dyDescent="0.2">
      <c r="B1588" s="17">
        <v>15082000000</v>
      </c>
      <c r="C1588" s="16" t="s">
        <v>22</v>
      </c>
    </row>
    <row r="1589" spans="2:3" hidden="1" x14ac:dyDescent="0.2">
      <c r="B1589" s="2">
        <v>468651000000</v>
      </c>
      <c r="C1589" t="s">
        <v>36</v>
      </c>
    </row>
    <row r="1590" spans="2:3" hidden="1" x14ac:dyDescent="0.2">
      <c r="B1590" s="2">
        <v>476294000000</v>
      </c>
      <c r="C1590" t="s">
        <v>36</v>
      </c>
    </row>
    <row r="1591" spans="2:3" hidden="1" x14ac:dyDescent="0.2">
      <c r="B1591" s="2">
        <v>485651000000</v>
      </c>
      <c r="C1591" t="s">
        <v>36</v>
      </c>
    </row>
    <row r="1592" spans="2:3" hidden="1" x14ac:dyDescent="0.2">
      <c r="B1592" s="2">
        <v>482130000000</v>
      </c>
      <c r="C1592" t="s">
        <v>36</v>
      </c>
    </row>
    <row r="1593" spans="2:3" hidden="1" x14ac:dyDescent="0.2">
      <c r="B1593" s="2">
        <v>9895100000</v>
      </c>
      <c r="C1593" t="s">
        <v>59</v>
      </c>
    </row>
    <row r="1594" spans="2:3" hidden="1" x14ac:dyDescent="0.2">
      <c r="B1594" s="2">
        <v>11124800000</v>
      </c>
      <c r="C1594" t="s">
        <v>59</v>
      </c>
    </row>
    <row r="1595" spans="2:3" hidden="1" x14ac:dyDescent="0.2">
      <c r="B1595" s="2">
        <v>14171800000</v>
      </c>
      <c r="C1595" t="s">
        <v>59</v>
      </c>
    </row>
    <row r="1596" spans="2:3" x14ac:dyDescent="0.2">
      <c r="B1596" s="17">
        <v>873592000</v>
      </c>
      <c r="C1596" s="16" t="s">
        <v>22</v>
      </c>
    </row>
    <row r="1597" spans="2:3" x14ac:dyDescent="0.2">
      <c r="B1597" s="17">
        <v>965087000</v>
      </c>
      <c r="C1597" s="16" t="s">
        <v>22</v>
      </c>
    </row>
    <row r="1598" spans="2:3" x14ac:dyDescent="0.2">
      <c r="B1598" s="17">
        <v>1010117000</v>
      </c>
      <c r="C1598" s="16" t="s">
        <v>22</v>
      </c>
    </row>
    <row r="1599" spans="2:3" x14ac:dyDescent="0.2">
      <c r="B1599" s="17">
        <v>1059366000</v>
      </c>
      <c r="C1599" s="16" t="s">
        <v>22</v>
      </c>
    </row>
    <row r="1600" spans="2:3" hidden="1" x14ac:dyDescent="0.2">
      <c r="B1600" s="2">
        <v>5989000000</v>
      </c>
      <c r="C1600" t="s">
        <v>52</v>
      </c>
    </row>
    <row r="1601" spans="2:3" hidden="1" x14ac:dyDescent="0.2">
      <c r="B1601" s="2">
        <v>7254000000</v>
      </c>
      <c r="C1601" t="s">
        <v>52</v>
      </c>
    </row>
    <row r="1602" spans="2:3" hidden="1" x14ac:dyDescent="0.2">
      <c r="B1602" s="2">
        <v>7403000000</v>
      </c>
      <c r="C1602" t="s">
        <v>52</v>
      </c>
    </row>
    <row r="1603" spans="2:3" hidden="1" x14ac:dyDescent="0.2">
      <c r="B1603" s="2">
        <v>7082000000</v>
      </c>
      <c r="C1603" t="s">
        <v>52</v>
      </c>
    </row>
    <row r="1604" spans="2:3" hidden="1" x14ac:dyDescent="0.2">
      <c r="B1604" s="2">
        <v>4534000000</v>
      </c>
      <c r="C1604" t="s">
        <v>19</v>
      </c>
    </row>
    <row r="1605" spans="2:3" hidden="1" x14ac:dyDescent="0.2">
      <c r="B1605" s="2">
        <v>5009000000</v>
      </c>
      <c r="C1605" t="s">
        <v>19</v>
      </c>
    </row>
    <row r="1606" spans="2:3" hidden="1" x14ac:dyDescent="0.2">
      <c r="B1606" s="2">
        <v>5281000000</v>
      </c>
      <c r="C1606" t="s">
        <v>19</v>
      </c>
    </row>
    <row r="1607" spans="2:3" hidden="1" x14ac:dyDescent="0.2">
      <c r="B1607" s="2">
        <v>5536000000</v>
      </c>
      <c r="C1607" t="s">
        <v>19</v>
      </c>
    </row>
    <row r="1608" spans="2:3" hidden="1" x14ac:dyDescent="0.2">
      <c r="B1608" s="2">
        <v>5154284000</v>
      </c>
      <c r="C1608" t="s">
        <v>19</v>
      </c>
    </row>
    <row r="1609" spans="2:3" hidden="1" x14ac:dyDescent="0.2">
      <c r="B1609" s="2">
        <v>5620936000</v>
      </c>
      <c r="C1609" t="s">
        <v>19</v>
      </c>
    </row>
    <row r="1610" spans="2:3" hidden="1" x14ac:dyDescent="0.2">
      <c r="B1610" s="2">
        <v>5433661000</v>
      </c>
      <c r="C1610" t="s">
        <v>19</v>
      </c>
    </row>
    <row r="1611" spans="2:3" hidden="1" x14ac:dyDescent="0.2">
      <c r="B1611" s="2">
        <v>4075883000</v>
      </c>
      <c r="C1611" t="s">
        <v>19</v>
      </c>
    </row>
    <row r="1612" spans="2:3" x14ac:dyDescent="0.2">
      <c r="B1612" s="17">
        <v>15351000000</v>
      </c>
      <c r="C1612" s="16" t="s">
        <v>22</v>
      </c>
    </row>
    <row r="1613" spans="2:3" x14ac:dyDescent="0.2">
      <c r="B1613" s="17">
        <v>15130000000</v>
      </c>
      <c r="C1613" s="16" t="s">
        <v>22</v>
      </c>
    </row>
    <row r="1614" spans="2:3" x14ac:dyDescent="0.2">
      <c r="B1614" s="17">
        <v>14572000000</v>
      </c>
      <c r="C1614" s="16" t="s">
        <v>22</v>
      </c>
    </row>
    <row r="1615" spans="2:3" x14ac:dyDescent="0.2">
      <c r="B1615" s="17">
        <v>12994000000</v>
      </c>
      <c r="C1615" s="16" t="s">
        <v>22</v>
      </c>
    </row>
    <row r="1616" spans="2:3" hidden="1" x14ac:dyDescent="0.2">
      <c r="B1616" s="2">
        <v>10128223000</v>
      </c>
      <c r="C1616" t="s">
        <v>42</v>
      </c>
    </row>
    <row r="1617" spans="2:3" hidden="1" x14ac:dyDescent="0.2">
      <c r="B1617" s="2">
        <v>10914922000</v>
      </c>
      <c r="C1617" t="s">
        <v>42</v>
      </c>
    </row>
    <row r="1618" spans="2:3" hidden="1" x14ac:dyDescent="0.2">
      <c r="B1618" s="2">
        <v>11686135000</v>
      </c>
      <c r="C1618" t="s">
        <v>42</v>
      </c>
    </row>
    <row r="1619" spans="2:3" hidden="1" x14ac:dyDescent="0.2">
      <c r="B1619" s="2">
        <v>11024486000</v>
      </c>
      <c r="C1619" t="s">
        <v>42</v>
      </c>
    </row>
    <row r="1620" spans="2:3" hidden="1" x14ac:dyDescent="0.2">
      <c r="B1620" s="2">
        <v>7232397000</v>
      </c>
      <c r="C1620" t="s">
        <v>47</v>
      </c>
    </row>
    <row r="1621" spans="2:3" hidden="1" x14ac:dyDescent="0.2">
      <c r="B1621" s="2">
        <v>7541234000</v>
      </c>
      <c r="C1621" t="s">
        <v>47</v>
      </c>
    </row>
    <row r="1622" spans="2:3" hidden="1" x14ac:dyDescent="0.2">
      <c r="B1622" s="2">
        <v>6602267000</v>
      </c>
      <c r="C1622" t="s">
        <v>47</v>
      </c>
    </row>
    <row r="1623" spans="2:3" hidden="1" x14ac:dyDescent="0.2">
      <c r="B1623" s="2">
        <v>9308926000</v>
      </c>
      <c r="C1623" t="s">
        <v>47</v>
      </c>
    </row>
    <row r="1624" spans="2:3" x14ac:dyDescent="0.2">
      <c r="B1624" s="17">
        <v>5664800000</v>
      </c>
      <c r="C1624" s="16" t="s">
        <v>22</v>
      </c>
    </row>
    <row r="1625" spans="2:3" x14ac:dyDescent="0.2">
      <c r="B1625" s="17">
        <v>5542000000</v>
      </c>
      <c r="C1625" s="16" t="s">
        <v>22</v>
      </c>
    </row>
    <row r="1626" spans="2:3" x14ac:dyDescent="0.2">
      <c r="B1626" s="17">
        <v>5607200000</v>
      </c>
      <c r="C1626" s="16" t="s">
        <v>22</v>
      </c>
    </row>
    <row r="1627" spans="2:3" x14ac:dyDescent="0.2">
      <c r="B1627" s="17">
        <v>5483700000</v>
      </c>
      <c r="C1627" s="16" t="s">
        <v>22</v>
      </c>
    </row>
    <row r="1628" spans="2:3" x14ac:dyDescent="0.2">
      <c r="B1628" s="17">
        <v>2168652000</v>
      </c>
      <c r="C1628" s="16" t="s">
        <v>22</v>
      </c>
    </row>
    <row r="1629" spans="2:3" x14ac:dyDescent="0.2">
      <c r="B1629" s="17">
        <v>2382531000</v>
      </c>
      <c r="C1629" s="16" t="s">
        <v>22</v>
      </c>
    </row>
    <row r="1630" spans="2:3" x14ac:dyDescent="0.2">
      <c r="B1630" s="17">
        <v>2377344000</v>
      </c>
      <c r="C1630" s="16" t="s">
        <v>22</v>
      </c>
    </row>
    <row r="1631" spans="2:3" x14ac:dyDescent="0.2">
      <c r="B1631" s="17">
        <v>2213881000</v>
      </c>
      <c r="C1631" s="16" t="s">
        <v>22</v>
      </c>
    </row>
    <row r="1632" spans="2:3" hidden="1" x14ac:dyDescent="0.2">
      <c r="B1632" s="2">
        <v>2928429000</v>
      </c>
      <c r="C1632" t="s">
        <v>25</v>
      </c>
    </row>
    <row r="1633" spans="2:3" hidden="1" x14ac:dyDescent="0.2">
      <c r="B1633" s="2">
        <v>2950800000</v>
      </c>
      <c r="C1633" t="s">
        <v>25</v>
      </c>
    </row>
    <row r="1634" spans="2:3" hidden="1" x14ac:dyDescent="0.2">
      <c r="B1634" s="2">
        <v>2922600000</v>
      </c>
      <c r="C1634" t="s">
        <v>25</v>
      </c>
    </row>
    <row r="1635" spans="2:3" hidden="1" x14ac:dyDescent="0.2">
      <c r="B1635" s="2">
        <v>2674300000</v>
      </c>
      <c r="C1635" t="s">
        <v>25</v>
      </c>
    </row>
    <row r="1636" spans="2:3" x14ac:dyDescent="0.2">
      <c r="B1636" s="17">
        <v>20421000000</v>
      </c>
      <c r="C1636" s="16" t="s">
        <v>22</v>
      </c>
    </row>
    <row r="1637" spans="2:3" x14ac:dyDescent="0.2">
      <c r="B1637" s="17">
        <v>20006000000</v>
      </c>
      <c r="C1637" s="16" t="s">
        <v>22</v>
      </c>
    </row>
    <row r="1638" spans="2:3" x14ac:dyDescent="0.2">
      <c r="B1638" s="17">
        <v>19540000000</v>
      </c>
      <c r="C1638" s="16" t="s">
        <v>22</v>
      </c>
    </row>
    <row r="1639" spans="2:3" x14ac:dyDescent="0.2">
      <c r="B1639" s="17">
        <v>18045000000</v>
      </c>
      <c r="C1639" s="16" t="s">
        <v>22</v>
      </c>
    </row>
    <row r="1640" spans="2:3" hidden="1" x14ac:dyDescent="0.2">
      <c r="B1640" s="2">
        <v>3791000000</v>
      </c>
      <c r="C1640" t="s">
        <v>13</v>
      </c>
    </row>
    <row r="1641" spans="2:3" hidden="1" x14ac:dyDescent="0.2">
      <c r="B1641" s="2">
        <v>3837000000</v>
      </c>
      <c r="C1641" t="s">
        <v>13</v>
      </c>
    </row>
    <row r="1642" spans="2:3" hidden="1" x14ac:dyDescent="0.2">
      <c r="B1642" s="2">
        <v>3916000000</v>
      </c>
      <c r="C1642" t="s">
        <v>13</v>
      </c>
    </row>
    <row r="1643" spans="2:3" hidden="1" x14ac:dyDescent="0.2">
      <c r="B1643" s="2">
        <v>3653000000</v>
      </c>
      <c r="C1643" t="s">
        <v>13</v>
      </c>
    </row>
    <row r="1644" spans="2:3" x14ac:dyDescent="0.2">
      <c r="B1644" s="17">
        <v>4986566000</v>
      </c>
      <c r="C1644" s="16" t="s">
        <v>22</v>
      </c>
    </row>
    <row r="1645" spans="2:3" x14ac:dyDescent="0.2">
      <c r="B1645" s="17">
        <v>4680380000</v>
      </c>
      <c r="C1645" s="16" t="s">
        <v>22</v>
      </c>
    </row>
    <row r="1646" spans="2:3" x14ac:dyDescent="0.2">
      <c r="B1646" s="17">
        <v>4618133000</v>
      </c>
      <c r="C1646" s="16" t="s">
        <v>22</v>
      </c>
    </row>
    <row r="1647" spans="2:3" x14ac:dyDescent="0.2">
      <c r="B1647" s="17">
        <v>4968301000</v>
      </c>
      <c r="C1647" s="16" t="s">
        <v>22</v>
      </c>
    </row>
    <row r="1648" spans="2:3" hidden="1" x14ac:dyDescent="0.2">
      <c r="B1648" s="2">
        <v>13633000000</v>
      </c>
      <c r="C1648" t="s">
        <v>19</v>
      </c>
    </row>
    <row r="1649" spans="2:3" hidden="1" x14ac:dyDescent="0.2">
      <c r="B1649" s="2">
        <v>13084000000</v>
      </c>
      <c r="C1649" t="s">
        <v>19</v>
      </c>
    </row>
    <row r="1650" spans="2:3" hidden="1" x14ac:dyDescent="0.2">
      <c r="B1650" s="2">
        <v>13279000000</v>
      </c>
      <c r="C1650" t="s">
        <v>19</v>
      </c>
    </row>
    <row r="1651" spans="2:3" hidden="1" x14ac:dyDescent="0.2">
      <c r="B1651" s="2">
        <v>13105000000</v>
      </c>
      <c r="C1651" t="s">
        <v>19</v>
      </c>
    </row>
    <row r="1652" spans="2:3" hidden="1" x14ac:dyDescent="0.2">
      <c r="B1652" s="2">
        <v>4471700000</v>
      </c>
      <c r="C1652" t="s">
        <v>25</v>
      </c>
    </row>
    <row r="1653" spans="2:3" hidden="1" x14ac:dyDescent="0.2">
      <c r="B1653" s="2">
        <v>4623400000</v>
      </c>
      <c r="C1653" t="s">
        <v>25</v>
      </c>
    </row>
    <row r="1654" spans="2:3" hidden="1" x14ac:dyDescent="0.2">
      <c r="B1654" s="2">
        <v>4673300000</v>
      </c>
      <c r="C1654" t="s">
        <v>25</v>
      </c>
    </row>
    <row r="1655" spans="2:3" hidden="1" x14ac:dyDescent="0.2">
      <c r="B1655" s="2">
        <v>5997800000</v>
      </c>
      <c r="C1655" t="s">
        <v>25</v>
      </c>
    </row>
    <row r="1656" spans="2:3" hidden="1" x14ac:dyDescent="0.2">
      <c r="B1656" s="2">
        <v>2458592000</v>
      </c>
      <c r="C1656" t="s">
        <v>47</v>
      </c>
    </row>
    <row r="1657" spans="2:3" hidden="1" x14ac:dyDescent="0.2">
      <c r="B1657" s="2">
        <v>2278812000</v>
      </c>
      <c r="C1657" t="s">
        <v>47</v>
      </c>
    </row>
    <row r="1658" spans="2:3" hidden="1" x14ac:dyDescent="0.2">
      <c r="B1658" s="2">
        <v>2361631000</v>
      </c>
      <c r="C1658" t="s">
        <v>47</v>
      </c>
    </row>
    <row r="1659" spans="2:3" hidden="1" x14ac:dyDescent="0.2">
      <c r="B1659" s="2">
        <v>2210591000</v>
      </c>
      <c r="C1659" t="s">
        <v>47</v>
      </c>
    </row>
    <row r="1660" spans="2:3" hidden="1" x14ac:dyDescent="0.2">
      <c r="B1660" s="2">
        <v>4561000000</v>
      </c>
      <c r="C1660" t="s">
        <v>25</v>
      </c>
    </row>
    <row r="1661" spans="2:3" hidden="1" x14ac:dyDescent="0.2">
      <c r="B1661" s="2">
        <v>4785000000</v>
      </c>
      <c r="C1661" t="s">
        <v>25</v>
      </c>
    </row>
    <row r="1662" spans="2:3" hidden="1" x14ac:dyDescent="0.2">
      <c r="B1662" s="2">
        <v>4765000000</v>
      </c>
      <c r="C1662" t="s">
        <v>25</v>
      </c>
    </row>
    <row r="1663" spans="2:3" hidden="1" x14ac:dyDescent="0.2">
      <c r="B1663" s="2">
        <v>4888000000</v>
      </c>
      <c r="C1663" t="s">
        <v>25</v>
      </c>
    </row>
  </sheetData>
  <autoFilter ref="B1:C1663" xr:uid="{2CBF503F-7314-5D4F-B71F-365C6EAE232B}">
    <filterColumn colId="1">
      <filters>
        <filter val="Energy"/>
        <filter val="Information Technology"/>
      </filters>
    </filterColumn>
  </autoFilter>
  <sortState xmlns:xlrd2="http://schemas.microsoft.com/office/spreadsheetml/2017/richdata2" ref="B10:C1647">
    <sortCondition ref="C2:C166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7404-7068-3B45-BF15-E9F9A82ECD27}">
  <dimension ref="A1:H21"/>
  <sheetViews>
    <sheetView workbookViewId="0">
      <selection activeCell="B1" sqref="B1"/>
    </sheetView>
  </sheetViews>
  <sheetFormatPr baseColWidth="10" defaultRowHeight="16" x14ac:dyDescent="0.2"/>
  <cols>
    <col min="4" max="4" width="25.6640625" customWidth="1"/>
    <col min="5" max="5" width="20.5" customWidth="1"/>
    <col min="6" max="6" width="21.5" customWidth="1"/>
    <col min="7" max="7" width="19.5" customWidth="1"/>
    <col min="8" max="8" width="23" customWidth="1"/>
  </cols>
  <sheetData>
    <row r="1" spans="1:8" ht="17" thickBot="1" x14ac:dyDescent="0.25">
      <c r="A1" s="20" t="s">
        <v>587</v>
      </c>
      <c r="B1" s="21" t="s">
        <v>570</v>
      </c>
    </row>
    <row r="2" spans="1:8" ht="17" thickBot="1" x14ac:dyDescent="0.25"/>
    <row r="3" spans="1:8" ht="17" thickBot="1" x14ac:dyDescent="0.25">
      <c r="D3" s="22" t="s">
        <v>596</v>
      </c>
      <c r="E3" s="23"/>
      <c r="F3" s="23"/>
      <c r="G3" s="23"/>
      <c r="H3" s="24"/>
    </row>
    <row r="4" spans="1:8" x14ac:dyDescent="0.2">
      <c r="D4" s="25"/>
      <c r="E4" s="26" t="s">
        <v>11</v>
      </c>
      <c r="F4" s="26" t="s">
        <v>15</v>
      </c>
      <c r="G4" s="26" t="s">
        <v>16</v>
      </c>
      <c r="H4" s="27" t="s">
        <v>17</v>
      </c>
    </row>
    <row r="5" spans="1:8" x14ac:dyDescent="0.2">
      <c r="D5" s="25" t="s">
        <v>588</v>
      </c>
      <c r="E5" s="28" cm="1">
        <f t="array" ref="E5">INDEX(Rev,MATCH(1,(E4=Year)*($B$1=Sym),0))</f>
        <v>3791000000</v>
      </c>
      <c r="F5" s="28" cm="1">
        <f t="array" ref="F5">INDEX(Rev,MATCH(1,(F4=Year)*(B1=Sym),0))</f>
        <v>3837000000</v>
      </c>
      <c r="G5" s="28" cm="1">
        <f t="array" ref="G5">INDEX(Rev,MATCH(1,(G4=Year)*(B1=Sym),0))</f>
        <v>3916000000</v>
      </c>
      <c r="H5" s="29" cm="1">
        <f t="array" ref="H5">INDEX(Rev,MATCH(1,(H4=Year)*($B$1=Sym),0))</f>
        <v>3653000000</v>
      </c>
    </row>
    <row r="6" spans="1:8" x14ac:dyDescent="0.2">
      <c r="D6" s="25" t="s">
        <v>589</v>
      </c>
      <c r="E6" s="28" cm="1">
        <f t="array" ref="E6">INDEX(COGS,MATCH(1,(E4=Year)*($B$1=Sym),0))</f>
        <v>2289000000</v>
      </c>
      <c r="F6" s="28" cm="1">
        <f t="array" ref="F6">INDEX(COGS,MATCH(1,(F4=Year)*($B$1=Sym),0))</f>
        <v>2338000000</v>
      </c>
      <c r="G6" s="28" cm="1">
        <f t="array" ref="G6">INDEX(COGS,MATCH(1,(G4=Year)*($B$1=Sym),0))</f>
        <v>2403000000</v>
      </c>
      <c r="H6" s="29" cm="1">
        <f t="array" ref="H6">INDEX(COGS,MATCH(1,(H4=Year)*($B$1=Sym),0))</f>
        <v>2249000000</v>
      </c>
    </row>
    <row r="7" spans="1:8" x14ac:dyDescent="0.2">
      <c r="D7" s="25" t="s">
        <v>590</v>
      </c>
      <c r="E7" s="30">
        <f>E5-E6</f>
        <v>1502000000</v>
      </c>
      <c r="F7" s="30">
        <f t="shared" ref="F7" si="0">F5-F6</f>
        <v>1499000000</v>
      </c>
      <c r="G7" s="30">
        <f>G5-G6</f>
        <v>1513000000</v>
      </c>
      <c r="H7" s="31">
        <f>H5-H6</f>
        <v>1404000000</v>
      </c>
    </row>
    <row r="8" spans="1:8" x14ac:dyDescent="0.2">
      <c r="D8" s="25" t="s">
        <v>591</v>
      </c>
      <c r="E8" s="109" cm="1">
        <f t="array" ref="E8">INDEX(SGA,MATCH(1,(E4=Year)*($B$1=Sym),0))</f>
        <v>936000000</v>
      </c>
      <c r="F8" s="109" cm="1">
        <f t="array" ref="F8">INDEX(SGA,MATCH(1,(F4=Year)*($B$1=Sym),0))</f>
        <v>990000000</v>
      </c>
      <c r="G8" s="109" cm="1">
        <f t="array" ref="G8">INDEX(SGA,MATCH(1,(G4=Year)*($B$1=Sym),0))</f>
        <v>920000000</v>
      </c>
      <c r="H8" s="29" cm="1">
        <f t="array" ref="H8">INDEX(SGA,MATCH(1,(H4=Year)*($B$1=Sym),0))</f>
        <v>854000000</v>
      </c>
    </row>
    <row r="9" spans="1:8" x14ac:dyDescent="0.2">
      <c r="D9" s="25" t="s">
        <v>592</v>
      </c>
      <c r="E9" s="109" cm="1">
        <f t="array" ref="E9">INDEX(RD,MATCH(1,(E4=Year)*(B1=Sym),0))</f>
        <v>106000000</v>
      </c>
      <c r="F9" s="109" cm="1">
        <f t="array" ref="F9">INDEX(RD,MATCH(1,($F$4=Year)*(B1=Sym),0))</f>
        <v>104000000</v>
      </c>
      <c r="G9" s="109" cm="1">
        <f t="array" ref="G9">INDEX(RD,MATCH(1,($G$4=Year)*(B1=Sym),0))</f>
        <v>104000000</v>
      </c>
      <c r="H9" s="29" cm="1">
        <f t="array" ref="H9">INDEX(RD,MATCH(1,($H$4=Year)*(B1=Sym),0))</f>
        <v>95000000</v>
      </c>
    </row>
    <row r="10" spans="1:8" x14ac:dyDescent="0.2">
      <c r="D10" s="25" t="s">
        <v>593</v>
      </c>
      <c r="E10" s="109" t="str" cm="1">
        <f t="array" ref="E10">INDEX(oper,MATCH(1,(E4=Year)*(B1=Sym),0))</f>
        <v xml:space="preserve"> $-   </v>
      </c>
      <c r="F10" s="109" t="str" cm="1">
        <f t="array" ref="F10">INDEX(oper,MATCH(1,(F4=Year)*(B1=Sym),0))</f>
        <v xml:space="preserve"> $-   </v>
      </c>
      <c r="G10" s="109" t="str" cm="1">
        <f t="array" ref="G10">INDEX(oper,MATCH(1,(G4=Year)*(B1=Sym),0))</f>
        <v xml:space="preserve"> $-   </v>
      </c>
      <c r="H10" s="29" t="str" cm="1">
        <f t="array" ref="H10">INDEX(oper,MATCH(1,(H4=Year)*(B1=Sym),0))</f>
        <v xml:space="preserve"> $-   </v>
      </c>
    </row>
    <row r="11" spans="1:8" x14ac:dyDescent="0.2">
      <c r="D11" s="25" t="s">
        <v>594</v>
      </c>
      <c r="E11" s="109">
        <f>SUM(E9+E8)</f>
        <v>1042000000</v>
      </c>
      <c r="F11" s="30">
        <f>SUM(F9+F8)</f>
        <v>1094000000</v>
      </c>
      <c r="G11" s="30">
        <f>SUM(G9+G8)</f>
        <v>1024000000</v>
      </c>
      <c r="H11" s="31">
        <f>SUM(H9+H8)</f>
        <v>949000000</v>
      </c>
    </row>
    <row r="12" spans="1:8" x14ac:dyDescent="0.2">
      <c r="D12" s="32" t="s">
        <v>595</v>
      </c>
      <c r="E12" s="111">
        <f>E5-E6-E11</f>
        <v>460000000</v>
      </c>
      <c r="F12" s="111">
        <f>F5-F6-F11</f>
        <v>405000000</v>
      </c>
      <c r="G12" s="111">
        <f>G5-G6-G11</f>
        <v>489000000</v>
      </c>
      <c r="H12" s="112">
        <f>H5-H6-H11</f>
        <v>455000000</v>
      </c>
    </row>
    <row r="21" spans="5:5" x14ac:dyDescent="0.2">
      <c r="E21" s="11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F6AB46-2E2D-1241-A45B-3F3FAC3BA78A}">
          <x14:formula1>
            <xm:f>Sheet2!$A$4:$A$433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95AF5-6E42-3048-9785-F85C68C490B2}">
  <dimension ref="A1:K39"/>
  <sheetViews>
    <sheetView tabSelected="1" workbookViewId="0">
      <selection activeCell="E20" sqref="E20"/>
    </sheetView>
  </sheetViews>
  <sheetFormatPr baseColWidth="10" defaultRowHeight="16" x14ac:dyDescent="0.2"/>
  <cols>
    <col min="4" max="4" width="22" customWidth="1"/>
    <col min="5" max="5" width="26.83203125" customWidth="1"/>
    <col min="6" max="6" width="23.33203125" customWidth="1"/>
    <col min="7" max="7" width="19.5" customWidth="1"/>
    <col min="8" max="8" width="23" customWidth="1"/>
    <col min="9" max="9" width="19.83203125" customWidth="1"/>
    <col min="10" max="10" width="23.83203125" customWidth="1"/>
  </cols>
  <sheetData>
    <row r="1" spans="1:10" ht="17" thickBot="1" x14ac:dyDescent="0.25">
      <c r="A1" s="20" t="s">
        <v>587</v>
      </c>
      <c r="B1" s="21" t="s">
        <v>24</v>
      </c>
    </row>
    <row r="2" spans="1:10" ht="17" thickBot="1" x14ac:dyDescent="0.25"/>
    <row r="3" spans="1:10" ht="17" thickBot="1" x14ac:dyDescent="0.25">
      <c r="D3" s="54" t="s">
        <v>596</v>
      </c>
      <c r="E3" s="35"/>
      <c r="F3" s="35"/>
      <c r="G3" s="35"/>
      <c r="H3" s="35"/>
      <c r="I3" s="74"/>
      <c r="J3" s="75"/>
    </row>
    <row r="4" spans="1:10" x14ac:dyDescent="0.2">
      <c r="D4" s="71"/>
      <c r="E4" s="72" t="s">
        <v>11</v>
      </c>
      <c r="F4" s="72" t="s">
        <v>15</v>
      </c>
      <c r="G4" s="72" t="s">
        <v>16</v>
      </c>
      <c r="H4" s="58" t="s">
        <v>17</v>
      </c>
      <c r="I4" s="72" t="s">
        <v>610</v>
      </c>
      <c r="J4" s="80" t="s">
        <v>611</v>
      </c>
    </row>
    <row r="5" spans="1:10" x14ac:dyDescent="0.2">
      <c r="D5" s="71" t="s">
        <v>588</v>
      </c>
      <c r="E5" s="77" cm="1">
        <f t="array" ref="E5">INDEX(Rev,MATCH(1,(E4=Year)*($B$1=Sym),0))</f>
        <v>18380000000</v>
      </c>
      <c r="F5" s="28" cm="1">
        <f t="array" ref="F5">INDEX(Rev,MATCH(1,(F4=Year)*(B1=Sym),0))</f>
        <v>18790000000</v>
      </c>
      <c r="G5" s="28" cm="1">
        <f t="array" ref="G5">INDEX(Rev,MATCH(1,(G4=Year)*(B1=Sym),0))</f>
        <v>19960000000</v>
      </c>
      <c r="H5" s="29" cm="1">
        <f t="array" ref="H5">INDEX(Rev,MATCH(1,(H4=Year)*($B$1=Sym),0))</f>
        <v>22859000000</v>
      </c>
      <c r="I5" s="93">
        <f ca="1">H5*(1+I16)</f>
        <v>23087590000</v>
      </c>
      <c r="J5" s="94">
        <f ca="1">I5*(1+J16)</f>
        <v>23318465900</v>
      </c>
    </row>
    <row r="6" spans="1:10" x14ac:dyDescent="0.2">
      <c r="D6" s="71" t="s">
        <v>589</v>
      </c>
      <c r="E6" s="78" cm="1">
        <f t="array" ref="E6">INDEX(COGS,MATCH(1,(E4=Year)*($B$1=Sym),0))</f>
        <v>4508000000</v>
      </c>
      <c r="F6" s="28" cm="1">
        <f t="array" ref="F6">INDEX(COGS,MATCH(1,(F4=Year)*($B$1=Sym),0))</f>
        <v>4581000000</v>
      </c>
      <c r="G6" s="28" cm="1">
        <f t="array" ref="G6">INDEX(COGS,MATCH(1,(G4=Year)*($B$1=Sym),0))</f>
        <v>4426000000</v>
      </c>
      <c r="H6" s="29" cm="1">
        <f t="array" ref="H6">INDEX(COGS,MATCH(1,(H4=Year)*($B$1=Sym),0))</f>
        <v>4500000000</v>
      </c>
      <c r="I6" s="93"/>
      <c r="J6" s="94"/>
    </row>
    <row r="7" spans="1:10" x14ac:dyDescent="0.2">
      <c r="D7" s="71" t="s">
        <v>590</v>
      </c>
      <c r="E7" s="79">
        <f>E5-E6</f>
        <v>13872000000</v>
      </c>
      <c r="F7" s="30">
        <f t="shared" ref="F7" si="0">F5-F6</f>
        <v>14209000000</v>
      </c>
      <c r="G7" s="30">
        <f>G5-G6</f>
        <v>15534000000</v>
      </c>
      <c r="H7" s="31">
        <f>H5-H6</f>
        <v>18359000000</v>
      </c>
      <c r="I7" s="30">
        <f ca="1">I5*I17</f>
        <v>16161312999.999998</v>
      </c>
      <c r="J7" s="94">
        <f ca="1">J5*J17</f>
        <v>16322926129.999998</v>
      </c>
    </row>
    <row r="8" spans="1:10" x14ac:dyDescent="0.2">
      <c r="D8" s="71" t="s">
        <v>591</v>
      </c>
      <c r="E8" s="109" cm="1">
        <f t="array" ref="E8">INDEX(SGA,MATCH(1,(E4=Year)*($B$1=Sym),0))</f>
        <v>4989000000</v>
      </c>
      <c r="F8" s="109" cm="1">
        <f t="array" ref="F8">INDEX(SGA,MATCH(1,(F4=Year)*($B$1=Sym),0))</f>
        <v>5352000000</v>
      </c>
      <c r="G8" s="109" cm="1">
        <f t="array" ref="G8">INDEX(SGA,MATCH(1,(G4=Year)*($B$1=Sym),0))</f>
        <v>8474000000</v>
      </c>
      <c r="H8" s="29" cm="1">
        <f t="array" ref="H8">INDEX(SGA,MATCH(1,(H4=Year)*($B$1=Sym),0))</f>
        <v>6387000000</v>
      </c>
      <c r="I8" s="26"/>
      <c r="J8" s="76"/>
    </row>
    <row r="9" spans="1:10" x14ac:dyDescent="0.2">
      <c r="D9" s="71" t="s">
        <v>592</v>
      </c>
      <c r="E9" s="109" cm="1">
        <f t="array" ref="E9">INDEX(RD,MATCH(1,(E4=Year)*(B1=Sym),0))</f>
        <v>2778000000</v>
      </c>
      <c r="F9" s="109" cm="1">
        <f t="array" ref="F9">INDEX(RD,MATCH(1,(F4=Year)*(B1=Sym),0))</f>
        <v>2855000000</v>
      </c>
      <c r="G9" s="109" cm="1">
        <f t="array" ref="G9">INDEX(RD,MATCH(1,(G4=Year)*(B1=Sym),0))</f>
        <v>3297000000</v>
      </c>
      <c r="H9" s="29" cm="1">
        <f t="array" ref="H9">INDEX(RD,MATCH(1,(H4=Year)*(B1=Sym),0))</f>
        <v>4285000000</v>
      </c>
      <c r="I9" s="26"/>
      <c r="J9" s="76"/>
    </row>
    <row r="10" spans="1:10" x14ac:dyDescent="0.2">
      <c r="D10" s="71" t="s">
        <v>593</v>
      </c>
      <c r="E10" s="109" t="str" cm="1">
        <f t="array" ref="E10">INDEX(oper,MATCH(1,(E4=Year)*(B1=Sym),0))</f>
        <v xml:space="preserve"> $-   </v>
      </c>
      <c r="F10" s="109" t="str" cm="1">
        <f t="array" ref="F10">INDEX(oper,MATCH(1,(F4=Year)*(B1=Sym),0))</f>
        <v xml:space="preserve"> $-   </v>
      </c>
      <c r="G10" s="109" t="str" cm="1">
        <f t="array" ref="G10">INDEX(oper,MATCH(1,(G4=Year)*(B1=Sym),0))</f>
        <v xml:space="preserve"> $-   </v>
      </c>
      <c r="H10" s="29" t="str" cm="1">
        <f t="array" ref="H10">INDEX(oper,MATCH(1,(H4=Year)*(B1=Sym),0))</f>
        <v xml:space="preserve"> $-   </v>
      </c>
      <c r="I10" s="26"/>
      <c r="J10" s="76"/>
    </row>
    <row r="11" spans="1:10" x14ac:dyDescent="0.2">
      <c r="D11" s="71" t="s">
        <v>594</v>
      </c>
      <c r="E11" s="109">
        <f>SUM(E9+E8)</f>
        <v>7767000000</v>
      </c>
      <c r="F11" s="109">
        <f>SUM(F9+F8)</f>
        <v>8207000000</v>
      </c>
      <c r="G11" s="30">
        <f>SUM(G9+G8)</f>
        <v>11771000000</v>
      </c>
      <c r="H11" s="31">
        <f>SUM(H9+H8)</f>
        <v>10672000000</v>
      </c>
      <c r="I11" s="26"/>
      <c r="J11" s="76"/>
    </row>
    <row r="12" spans="1:10" ht="17" thickBot="1" x14ac:dyDescent="0.25">
      <c r="D12" s="73" t="s">
        <v>595</v>
      </c>
      <c r="E12" s="113">
        <f>E5-E6-E11</f>
        <v>6105000000</v>
      </c>
      <c r="F12" s="114">
        <f>F5-F6-F11</f>
        <v>6002000000</v>
      </c>
      <c r="G12" s="114">
        <f>G5-G6-G11</f>
        <v>3763000000</v>
      </c>
      <c r="H12" s="115">
        <f>H5-H6-H11</f>
        <v>7687000000</v>
      </c>
      <c r="I12" s="114">
        <f ca="1">I5*I18</f>
        <v>9235036000</v>
      </c>
      <c r="J12" s="116">
        <f ca="1">J5*J18</f>
        <v>10493309655</v>
      </c>
    </row>
    <row r="13" spans="1:10" ht="17" thickBot="1" x14ac:dyDescent="0.25"/>
    <row r="14" spans="1:10" ht="17" thickBot="1" x14ac:dyDescent="0.25">
      <c r="D14" s="38" t="s">
        <v>600</v>
      </c>
      <c r="E14" s="39"/>
      <c r="F14" s="39"/>
      <c r="G14" s="39"/>
      <c r="H14" s="45"/>
      <c r="I14" s="45"/>
      <c r="J14" s="45"/>
    </row>
    <row r="15" spans="1:10" ht="17" thickBot="1" x14ac:dyDescent="0.25">
      <c r="D15" s="40"/>
      <c r="F15" s="46"/>
      <c r="G15" s="81"/>
      <c r="H15" s="53" t="s">
        <v>604</v>
      </c>
      <c r="I15" s="119" t="s">
        <v>613</v>
      </c>
      <c r="J15" s="120"/>
    </row>
    <row r="16" spans="1:10" ht="17" thickBot="1" x14ac:dyDescent="0.25">
      <c r="D16" s="36" t="s">
        <v>601</v>
      </c>
      <c r="E16" s="83">
        <v>0.02</v>
      </c>
      <c r="F16" s="83">
        <v>0.02</v>
      </c>
      <c r="G16" s="83">
        <v>0.06</v>
      </c>
      <c r="H16" s="83">
        <v>0.14000000000000001</v>
      </c>
      <c r="I16" s="91">
        <f ca="1">OFFSET(I24,MATCH(E20,D25:D27,0),0)</f>
        <v>0.01</v>
      </c>
      <c r="J16" s="92">
        <f ca="1">OFFSET(J24,MATCH(E20,D25:D27,0),0)</f>
        <v>0.01</v>
      </c>
    </row>
    <row r="17" spans="4:11" ht="17" thickBot="1" x14ac:dyDescent="0.25">
      <c r="D17" s="37" t="s">
        <v>602</v>
      </c>
      <c r="E17" s="49">
        <v>0.72</v>
      </c>
      <c r="F17" s="49">
        <f>1-F6/F5</f>
        <v>0.75620010643959557</v>
      </c>
      <c r="G17" s="49">
        <f>1-G6/G5</f>
        <v>0.77825651302605214</v>
      </c>
      <c r="H17" s="49">
        <f>1-H6/H5</f>
        <v>0.803140994794173</v>
      </c>
      <c r="I17" s="51">
        <f ca="1">OFFSET(I28,MATCH(E20,D29:D31,0),0)</f>
        <v>0.7</v>
      </c>
      <c r="J17" s="49">
        <f ca="1">OFFSET(J28,MATCH(E20,D25:D27,0),0)</f>
        <v>0.7</v>
      </c>
    </row>
    <row r="18" spans="4:11" ht="17" thickBot="1" x14ac:dyDescent="0.25">
      <c r="D18" s="36" t="s">
        <v>603</v>
      </c>
      <c r="E18" s="50">
        <v>0.33</v>
      </c>
      <c r="F18" s="50">
        <v>0.32</v>
      </c>
      <c r="G18" s="50">
        <v>0.19</v>
      </c>
      <c r="H18" s="50">
        <v>0.34</v>
      </c>
      <c r="I18" s="52">
        <v>0.4</v>
      </c>
      <c r="J18" s="50">
        <v>0.45</v>
      </c>
    </row>
    <row r="19" spans="4:11" ht="17" thickBot="1" x14ac:dyDescent="0.25"/>
    <row r="20" spans="4:11" ht="17" thickBot="1" x14ac:dyDescent="0.25">
      <c r="D20" s="55" t="s">
        <v>605</v>
      </c>
      <c r="E20" s="90" t="s">
        <v>609</v>
      </c>
      <c r="F20" s="43"/>
      <c r="G20" s="43"/>
      <c r="H20" s="43"/>
      <c r="I20" s="43"/>
      <c r="J20" s="43"/>
      <c r="K20" s="56"/>
    </row>
    <row r="21" spans="4:11" x14ac:dyDescent="0.2">
      <c r="D21" s="61"/>
      <c r="E21" s="60"/>
      <c r="F21" s="59"/>
      <c r="G21" s="59"/>
      <c r="H21" s="59"/>
      <c r="I21" s="59"/>
      <c r="J21" s="59"/>
      <c r="K21" s="62"/>
    </row>
    <row r="22" spans="4:11" x14ac:dyDescent="0.2">
      <c r="D22" s="63" t="s">
        <v>606</v>
      </c>
      <c r="E22" s="64"/>
      <c r="F22" s="64"/>
      <c r="G22" s="64"/>
      <c r="H22" s="65"/>
      <c r="I22" s="64"/>
      <c r="J22" s="64"/>
      <c r="K22" s="66"/>
    </row>
    <row r="23" spans="4:11" ht="17" thickBot="1" x14ac:dyDescent="0.25">
      <c r="D23" s="85"/>
      <c r="E23" s="44"/>
      <c r="F23" s="44"/>
      <c r="K23" s="41"/>
    </row>
    <row r="24" spans="4:11" ht="17" thickBot="1" x14ac:dyDescent="0.25">
      <c r="D24" s="82" t="s">
        <v>601</v>
      </c>
      <c r="E24" s="86"/>
      <c r="F24" s="87"/>
      <c r="G24" s="88"/>
      <c r="H24" s="88"/>
      <c r="I24" s="89"/>
      <c r="J24" s="88"/>
      <c r="K24" s="13"/>
    </row>
    <row r="25" spans="4:11" x14ac:dyDescent="0.2">
      <c r="D25" s="40" t="s">
        <v>607</v>
      </c>
      <c r="E25">
        <v>1</v>
      </c>
      <c r="F25" s="10"/>
      <c r="G25" s="10"/>
      <c r="H25" s="10"/>
      <c r="I25" s="84">
        <v>0.15</v>
      </c>
      <c r="J25" s="84">
        <v>0.16</v>
      </c>
      <c r="K25" s="67"/>
    </row>
    <row r="26" spans="4:11" x14ac:dyDescent="0.2">
      <c r="D26" s="40" t="s">
        <v>608</v>
      </c>
      <c r="E26">
        <v>2</v>
      </c>
      <c r="F26" s="10"/>
      <c r="G26" s="10"/>
      <c r="H26" s="10"/>
      <c r="I26" s="84">
        <v>7.0000000000000007E-2</v>
      </c>
      <c r="J26" s="84">
        <v>7.0000000000000007E-2</v>
      </c>
      <c r="K26" s="67"/>
    </row>
    <row r="27" spans="4:11" ht="17" thickBot="1" x14ac:dyDescent="0.25">
      <c r="D27" s="40" t="s">
        <v>609</v>
      </c>
      <c r="E27">
        <v>3</v>
      </c>
      <c r="F27" s="10"/>
      <c r="G27" s="10"/>
      <c r="H27" s="10"/>
      <c r="I27" s="84">
        <v>0.01</v>
      </c>
      <c r="J27" s="84">
        <v>0.01</v>
      </c>
      <c r="K27" s="67"/>
    </row>
    <row r="28" spans="4:11" ht="17" thickBot="1" x14ac:dyDescent="0.25">
      <c r="D28" s="48" t="s">
        <v>602</v>
      </c>
      <c r="E28" s="47"/>
      <c r="F28" s="88"/>
      <c r="G28" s="88"/>
      <c r="H28" s="88"/>
      <c r="I28" s="88"/>
      <c r="J28" s="88"/>
      <c r="K28" s="13"/>
    </row>
    <row r="29" spans="4:11" x14ac:dyDescent="0.2">
      <c r="D29" s="40" t="s">
        <v>607</v>
      </c>
      <c r="E29">
        <v>1</v>
      </c>
      <c r="F29" s="10"/>
      <c r="G29" s="10"/>
      <c r="H29" s="10"/>
      <c r="I29" s="10">
        <v>0.81</v>
      </c>
      <c r="J29" s="10">
        <v>0.81</v>
      </c>
      <c r="K29" s="67"/>
    </row>
    <row r="30" spans="4:11" x14ac:dyDescent="0.2">
      <c r="D30" s="40" t="s">
        <v>608</v>
      </c>
      <c r="E30">
        <v>2</v>
      </c>
      <c r="F30" s="10"/>
      <c r="G30" s="10"/>
      <c r="H30" s="10"/>
      <c r="I30" s="10">
        <v>0.77</v>
      </c>
      <c r="J30" s="10">
        <v>0.77</v>
      </c>
      <c r="K30" s="67"/>
    </row>
    <row r="31" spans="4:11" x14ac:dyDescent="0.2">
      <c r="D31" s="61" t="s">
        <v>609</v>
      </c>
      <c r="E31">
        <v>3</v>
      </c>
      <c r="F31" s="10"/>
      <c r="G31" s="10"/>
      <c r="H31" s="10"/>
      <c r="I31" s="10">
        <v>0.7</v>
      </c>
      <c r="J31" s="10">
        <v>0.7</v>
      </c>
      <c r="K31" s="67"/>
    </row>
    <row r="32" spans="4:11" ht="17" thickBot="1" x14ac:dyDescent="0.25">
      <c r="D32" s="70" t="s">
        <v>603</v>
      </c>
      <c r="E32" s="42"/>
      <c r="F32" s="10"/>
      <c r="G32" s="10"/>
      <c r="H32" s="10"/>
      <c r="I32" s="10"/>
      <c r="J32" s="10"/>
      <c r="K32" s="67"/>
    </row>
    <row r="33" spans="4:11" x14ac:dyDescent="0.2">
      <c r="D33" s="40" t="s">
        <v>607</v>
      </c>
      <c r="F33" s="10"/>
      <c r="G33" s="10"/>
      <c r="H33" s="10"/>
      <c r="I33" s="10">
        <v>0.4</v>
      </c>
      <c r="J33" s="10">
        <v>0.45</v>
      </c>
      <c r="K33" s="67"/>
    </row>
    <row r="34" spans="4:11" x14ac:dyDescent="0.2">
      <c r="D34" s="40" t="s">
        <v>608</v>
      </c>
      <c r="F34" s="10"/>
      <c r="G34" s="10"/>
      <c r="H34" s="10"/>
      <c r="I34" s="10">
        <v>0.33</v>
      </c>
      <c r="J34" s="10">
        <v>0.32</v>
      </c>
      <c r="K34" s="67"/>
    </row>
    <row r="35" spans="4:11" ht="17" thickBot="1" x14ac:dyDescent="0.25">
      <c r="D35" s="57" t="s">
        <v>609</v>
      </c>
      <c r="E35" s="42"/>
      <c r="F35" s="68"/>
      <c r="G35" s="68"/>
      <c r="H35" s="68"/>
      <c r="I35" s="68">
        <v>0.19</v>
      </c>
      <c r="J35" s="68">
        <v>0.19</v>
      </c>
      <c r="K35" s="69"/>
    </row>
    <row r="39" spans="4:11" x14ac:dyDescent="0.2">
      <c r="F39" s="59"/>
    </row>
  </sheetData>
  <mergeCells count="1">
    <mergeCell ref="I15:J15"/>
  </mergeCells>
  <dataValidations count="1">
    <dataValidation type="list" allowBlank="1" showInputMessage="1" showErrorMessage="1" sqref="E20" xr:uid="{60A12EF8-0EEA-5544-8AF4-58AF677920B9}">
      <formula1>"Strong case, Weak case, Base case"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2F6E9B-4595-1C4E-A9AE-D0DE833994FE}">
          <x14:formula1>
            <xm:f>Sheet2!$A$4:$A$433</xm:f>
          </x14:formula1>
          <xm:sqref>B1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54CA-13D1-B642-8B3C-C1337D26EC34}">
  <dimension ref="A3:A435"/>
  <sheetViews>
    <sheetView workbookViewId="0">
      <selection activeCell="I33" sqref="I33"/>
    </sheetView>
  </sheetViews>
  <sheetFormatPr baseColWidth="10" defaultRowHeight="16" x14ac:dyDescent="0.2"/>
  <cols>
    <col min="1" max="1" width="13" bestFit="1" customWidth="1"/>
  </cols>
  <sheetData>
    <row r="3" spans="1:1" x14ac:dyDescent="0.2">
      <c r="A3" s="33" t="s">
        <v>597</v>
      </c>
    </row>
    <row r="4" spans="1:1" x14ac:dyDescent="0.2">
      <c r="A4" s="34" t="s">
        <v>394</v>
      </c>
    </row>
    <row r="5" spans="1:1" x14ac:dyDescent="0.2">
      <c r="A5" s="34" t="s">
        <v>372</v>
      </c>
    </row>
    <row r="6" spans="1:1" x14ac:dyDescent="0.2">
      <c r="A6" s="34" t="s">
        <v>415</v>
      </c>
    </row>
    <row r="7" spans="1:1" x14ac:dyDescent="0.2">
      <c r="A7" s="34" t="s">
        <v>10</v>
      </c>
    </row>
    <row r="8" spans="1:1" x14ac:dyDescent="0.2">
      <c r="A8" s="34" t="s">
        <v>18</v>
      </c>
    </row>
    <row r="9" spans="1:1" x14ac:dyDescent="0.2">
      <c r="A9" s="34" t="s">
        <v>21</v>
      </c>
    </row>
    <row r="10" spans="1:1" x14ac:dyDescent="0.2">
      <c r="A10" s="34" t="s">
        <v>24</v>
      </c>
    </row>
    <row r="11" spans="1:1" x14ac:dyDescent="0.2">
      <c r="A11" s="34" t="s">
        <v>27</v>
      </c>
    </row>
    <row r="12" spans="1:1" x14ac:dyDescent="0.2">
      <c r="A12" s="34" t="s">
        <v>29</v>
      </c>
    </row>
    <row r="13" spans="1:1" x14ac:dyDescent="0.2">
      <c r="A13" s="34" t="s">
        <v>31</v>
      </c>
    </row>
    <row r="14" spans="1:1" x14ac:dyDescent="0.2">
      <c r="A14" s="34" t="s">
        <v>33</v>
      </c>
    </row>
    <row r="15" spans="1:1" x14ac:dyDescent="0.2">
      <c r="A15" s="34" t="s">
        <v>35</v>
      </c>
    </row>
    <row r="16" spans="1:1" x14ac:dyDescent="0.2">
      <c r="A16" s="34" t="s">
        <v>38</v>
      </c>
    </row>
    <row r="17" spans="1:1" x14ac:dyDescent="0.2">
      <c r="A17" s="34" t="s">
        <v>40</v>
      </c>
    </row>
    <row r="18" spans="1:1" x14ac:dyDescent="0.2">
      <c r="A18" s="34" t="s">
        <v>41</v>
      </c>
    </row>
    <row r="19" spans="1:1" x14ac:dyDescent="0.2">
      <c r="A19" s="34" t="s">
        <v>44</v>
      </c>
    </row>
    <row r="20" spans="1:1" x14ac:dyDescent="0.2">
      <c r="A20" s="34" t="s">
        <v>46</v>
      </c>
    </row>
    <row r="21" spans="1:1" x14ac:dyDescent="0.2">
      <c r="A21" s="34" t="s">
        <v>49</v>
      </c>
    </row>
    <row r="22" spans="1:1" x14ac:dyDescent="0.2">
      <c r="A22" s="34" t="s">
        <v>51</v>
      </c>
    </row>
    <row r="23" spans="1:1" x14ac:dyDescent="0.2">
      <c r="A23" s="34" t="s">
        <v>54</v>
      </c>
    </row>
    <row r="24" spans="1:1" x14ac:dyDescent="0.2">
      <c r="A24" s="34" t="s">
        <v>56</v>
      </c>
    </row>
    <row r="25" spans="1:1" x14ac:dyDescent="0.2">
      <c r="A25" s="34" t="s">
        <v>58</v>
      </c>
    </row>
    <row r="26" spans="1:1" x14ac:dyDescent="0.2">
      <c r="A26" s="34" t="s">
        <v>61</v>
      </c>
    </row>
    <row r="27" spans="1:1" x14ac:dyDescent="0.2">
      <c r="A27" s="34" t="s">
        <v>62</v>
      </c>
    </row>
    <row r="28" spans="1:1" x14ac:dyDescent="0.2">
      <c r="A28" s="34" t="s">
        <v>63</v>
      </c>
    </row>
    <row r="29" spans="1:1" x14ac:dyDescent="0.2">
      <c r="A29" s="34" t="s">
        <v>65</v>
      </c>
    </row>
    <row r="30" spans="1:1" x14ac:dyDescent="0.2">
      <c r="A30" s="34" t="s">
        <v>67</v>
      </c>
    </row>
    <row r="31" spans="1:1" x14ac:dyDescent="0.2">
      <c r="A31" s="34" t="s">
        <v>69</v>
      </c>
    </row>
    <row r="32" spans="1:1" x14ac:dyDescent="0.2">
      <c r="A32" s="34" t="s">
        <v>71</v>
      </c>
    </row>
    <row r="33" spans="1:1" x14ac:dyDescent="0.2">
      <c r="A33" s="34" t="s">
        <v>72</v>
      </c>
    </row>
    <row r="34" spans="1:1" x14ac:dyDescent="0.2">
      <c r="A34" s="34" t="s">
        <v>74</v>
      </c>
    </row>
    <row r="35" spans="1:1" x14ac:dyDescent="0.2">
      <c r="A35" s="34" t="s">
        <v>76</v>
      </c>
    </row>
    <row r="36" spans="1:1" x14ac:dyDescent="0.2">
      <c r="A36" s="34" t="s">
        <v>78</v>
      </c>
    </row>
    <row r="37" spans="1:1" x14ac:dyDescent="0.2">
      <c r="A37" s="34" t="s">
        <v>80</v>
      </c>
    </row>
    <row r="38" spans="1:1" x14ac:dyDescent="0.2">
      <c r="A38" s="34" t="s">
        <v>82</v>
      </c>
    </row>
    <row r="39" spans="1:1" x14ac:dyDescent="0.2">
      <c r="A39" s="34" t="s">
        <v>85</v>
      </c>
    </row>
    <row r="40" spans="1:1" x14ac:dyDescent="0.2">
      <c r="A40" s="34" t="s">
        <v>86</v>
      </c>
    </row>
    <row r="41" spans="1:1" x14ac:dyDescent="0.2">
      <c r="A41" s="34" t="s">
        <v>88</v>
      </c>
    </row>
    <row r="42" spans="1:1" x14ac:dyDescent="0.2">
      <c r="A42" s="34" t="s">
        <v>90</v>
      </c>
    </row>
    <row r="43" spans="1:1" x14ac:dyDescent="0.2">
      <c r="A43" s="34" t="s">
        <v>92</v>
      </c>
    </row>
    <row r="44" spans="1:1" x14ac:dyDescent="0.2">
      <c r="A44" s="34" t="s">
        <v>94</v>
      </c>
    </row>
    <row r="45" spans="1:1" x14ac:dyDescent="0.2">
      <c r="A45" s="34" t="s">
        <v>95</v>
      </c>
    </row>
    <row r="46" spans="1:1" x14ac:dyDescent="0.2">
      <c r="A46" s="34" t="s">
        <v>97</v>
      </c>
    </row>
    <row r="47" spans="1:1" x14ac:dyDescent="0.2">
      <c r="A47" s="34" t="s">
        <v>99</v>
      </c>
    </row>
    <row r="48" spans="1:1" x14ac:dyDescent="0.2">
      <c r="A48" s="34" t="s">
        <v>101</v>
      </c>
    </row>
    <row r="49" spans="1:1" x14ac:dyDescent="0.2">
      <c r="A49" s="34" t="s">
        <v>102</v>
      </c>
    </row>
    <row r="50" spans="1:1" x14ac:dyDescent="0.2">
      <c r="A50" s="34" t="s">
        <v>103</v>
      </c>
    </row>
    <row r="51" spans="1:1" x14ac:dyDescent="0.2">
      <c r="A51" s="34" t="s">
        <v>104</v>
      </c>
    </row>
    <row r="52" spans="1:1" x14ac:dyDescent="0.2">
      <c r="A52" s="34" t="s">
        <v>106</v>
      </c>
    </row>
    <row r="53" spans="1:1" x14ac:dyDescent="0.2">
      <c r="A53" s="34" t="s">
        <v>107</v>
      </c>
    </row>
    <row r="54" spans="1:1" x14ac:dyDescent="0.2">
      <c r="A54" s="34" t="s">
        <v>108</v>
      </c>
    </row>
    <row r="55" spans="1:1" x14ac:dyDescent="0.2">
      <c r="A55" s="34" t="s">
        <v>109</v>
      </c>
    </row>
    <row r="56" spans="1:1" x14ac:dyDescent="0.2">
      <c r="A56" s="34" t="s">
        <v>111</v>
      </c>
    </row>
    <row r="57" spans="1:1" x14ac:dyDescent="0.2">
      <c r="A57" s="34" t="s">
        <v>112</v>
      </c>
    </row>
    <row r="58" spans="1:1" x14ac:dyDescent="0.2">
      <c r="A58" s="34" t="s">
        <v>113</v>
      </c>
    </row>
    <row r="59" spans="1:1" x14ac:dyDescent="0.2">
      <c r="A59" s="34" t="s">
        <v>115</v>
      </c>
    </row>
    <row r="60" spans="1:1" x14ac:dyDescent="0.2">
      <c r="A60" s="34" t="s">
        <v>116</v>
      </c>
    </row>
    <row r="61" spans="1:1" x14ac:dyDescent="0.2">
      <c r="A61" s="34" t="s">
        <v>118</v>
      </c>
    </row>
    <row r="62" spans="1:1" x14ac:dyDescent="0.2">
      <c r="A62" s="34" t="s">
        <v>119</v>
      </c>
    </row>
    <row r="63" spans="1:1" x14ac:dyDescent="0.2">
      <c r="A63" s="34" t="s">
        <v>120</v>
      </c>
    </row>
    <row r="64" spans="1:1" x14ac:dyDescent="0.2">
      <c r="A64" s="34" t="s">
        <v>122</v>
      </c>
    </row>
    <row r="65" spans="1:1" x14ac:dyDescent="0.2">
      <c r="A65" s="34" t="s">
        <v>123</v>
      </c>
    </row>
    <row r="66" spans="1:1" x14ac:dyDescent="0.2">
      <c r="A66" s="34" t="s">
        <v>125</v>
      </c>
    </row>
    <row r="67" spans="1:1" x14ac:dyDescent="0.2">
      <c r="A67" s="34" t="s">
        <v>126</v>
      </c>
    </row>
    <row r="68" spans="1:1" x14ac:dyDescent="0.2">
      <c r="A68" s="34" t="s">
        <v>128</v>
      </c>
    </row>
    <row r="69" spans="1:1" x14ac:dyDescent="0.2">
      <c r="A69" s="34" t="s">
        <v>129</v>
      </c>
    </row>
    <row r="70" spans="1:1" x14ac:dyDescent="0.2">
      <c r="A70" s="34" t="s">
        <v>131</v>
      </c>
    </row>
    <row r="71" spans="1:1" x14ac:dyDescent="0.2">
      <c r="A71" s="34" t="s">
        <v>132</v>
      </c>
    </row>
    <row r="72" spans="1:1" x14ac:dyDescent="0.2">
      <c r="A72" s="34" t="s">
        <v>134</v>
      </c>
    </row>
    <row r="73" spans="1:1" x14ac:dyDescent="0.2">
      <c r="A73" s="34" t="s">
        <v>135</v>
      </c>
    </row>
    <row r="74" spans="1:1" x14ac:dyDescent="0.2">
      <c r="A74" s="34" t="s">
        <v>137</v>
      </c>
    </row>
    <row r="75" spans="1:1" x14ac:dyDescent="0.2">
      <c r="A75" s="34" t="s">
        <v>139</v>
      </c>
    </row>
    <row r="76" spans="1:1" x14ac:dyDescent="0.2">
      <c r="A76" s="34" t="s">
        <v>141</v>
      </c>
    </row>
    <row r="77" spans="1:1" x14ac:dyDescent="0.2">
      <c r="A77" s="34" t="s">
        <v>143</v>
      </c>
    </row>
    <row r="78" spans="1:1" x14ac:dyDescent="0.2">
      <c r="A78" s="34" t="s">
        <v>145</v>
      </c>
    </row>
    <row r="79" spans="1:1" x14ac:dyDescent="0.2">
      <c r="A79" s="34" t="s">
        <v>147</v>
      </c>
    </row>
    <row r="80" spans="1:1" x14ac:dyDescent="0.2">
      <c r="A80" s="34" t="s">
        <v>149</v>
      </c>
    </row>
    <row r="81" spans="1:1" x14ac:dyDescent="0.2">
      <c r="A81" s="34" t="s">
        <v>150</v>
      </c>
    </row>
    <row r="82" spans="1:1" x14ac:dyDescent="0.2">
      <c r="A82" s="34" t="s">
        <v>151</v>
      </c>
    </row>
    <row r="83" spans="1:1" x14ac:dyDescent="0.2">
      <c r="A83" s="34" t="s">
        <v>152</v>
      </c>
    </row>
    <row r="84" spans="1:1" x14ac:dyDescent="0.2">
      <c r="A84" s="34" t="s">
        <v>153</v>
      </c>
    </row>
    <row r="85" spans="1:1" x14ac:dyDescent="0.2">
      <c r="A85" s="34" t="s">
        <v>154</v>
      </c>
    </row>
    <row r="86" spans="1:1" x14ac:dyDescent="0.2">
      <c r="A86" s="34" t="s">
        <v>156</v>
      </c>
    </row>
    <row r="87" spans="1:1" x14ac:dyDescent="0.2">
      <c r="A87" s="34" t="s">
        <v>158</v>
      </c>
    </row>
    <row r="88" spans="1:1" x14ac:dyDescent="0.2">
      <c r="A88" s="34" t="s">
        <v>159</v>
      </c>
    </row>
    <row r="89" spans="1:1" x14ac:dyDescent="0.2">
      <c r="A89" s="34" t="s">
        <v>160</v>
      </c>
    </row>
    <row r="90" spans="1:1" x14ac:dyDescent="0.2">
      <c r="A90" s="34" t="s">
        <v>161</v>
      </c>
    </row>
    <row r="91" spans="1:1" x14ac:dyDescent="0.2">
      <c r="A91" s="34" t="s">
        <v>162</v>
      </c>
    </row>
    <row r="92" spans="1:1" x14ac:dyDescent="0.2">
      <c r="A92" s="34" t="s">
        <v>163</v>
      </c>
    </row>
    <row r="93" spans="1:1" x14ac:dyDescent="0.2">
      <c r="A93" s="34" t="s">
        <v>165</v>
      </c>
    </row>
    <row r="94" spans="1:1" x14ac:dyDescent="0.2">
      <c r="A94" s="34" t="s">
        <v>167</v>
      </c>
    </row>
    <row r="95" spans="1:1" x14ac:dyDescent="0.2">
      <c r="A95" s="34" t="s">
        <v>169</v>
      </c>
    </row>
    <row r="96" spans="1:1" x14ac:dyDescent="0.2">
      <c r="A96" s="34" t="s">
        <v>171</v>
      </c>
    </row>
    <row r="97" spans="1:1" x14ac:dyDescent="0.2">
      <c r="A97" s="34" t="s">
        <v>172</v>
      </c>
    </row>
    <row r="98" spans="1:1" x14ac:dyDescent="0.2">
      <c r="A98" s="34" t="s">
        <v>173</v>
      </c>
    </row>
    <row r="99" spans="1:1" x14ac:dyDescent="0.2">
      <c r="A99" s="34" t="s">
        <v>175</v>
      </c>
    </row>
    <row r="100" spans="1:1" x14ac:dyDescent="0.2">
      <c r="A100" s="34" t="s">
        <v>177</v>
      </c>
    </row>
    <row r="101" spans="1:1" x14ac:dyDescent="0.2">
      <c r="A101" s="34" t="s">
        <v>179</v>
      </c>
    </row>
    <row r="102" spans="1:1" x14ac:dyDescent="0.2">
      <c r="A102" s="34" t="s">
        <v>181</v>
      </c>
    </row>
    <row r="103" spans="1:1" x14ac:dyDescent="0.2">
      <c r="A103" s="34" t="s">
        <v>184</v>
      </c>
    </row>
    <row r="104" spans="1:1" x14ac:dyDescent="0.2">
      <c r="A104" s="34" t="s">
        <v>185</v>
      </c>
    </row>
    <row r="105" spans="1:1" x14ac:dyDescent="0.2">
      <c r="A105" s="34" t="s">
        <v>186</v>
      </c>
    </row>
    <row r="106" spans="1:1" x14ac:dyDescent="0.2">
      <c r="A106" s="34" t="s">
        <v>188</v>
      </c>
    </row>
    <row r="107" spans="1:1" x14ac:dyDescent="0.2">
      <c r="A107" s="34" t="s">
        <v>189</v>
      </c>
    </row>
    <row r="108" spans="1:1" x14ac:dyDescent="0.2">
      <c r="A108" s="34" t="s">
        <v>190</v>
      </c>
    </row>
    <row r="109" spans="1:1" x14ac:dyDescent="0.2">
      <c r="A109" s="34" t="s">
        <v>191</v>
      </c>
    </row>
    <row r="110" spans="1:1" x14ac:dyDescent="0.2">
      <c r="A110" s="34" t="s">
        <v>192</v>
      </c>
    </row>
    <row r="111" spans="1:1" x14ac:dyDescent="0.2">
      <c r="A111" s="34" t="s">
        <v>194</v>
      </c>
    </row>
    <row r="112" spans="1:1" x14ac:dyDescent="0.2">
      <c r="A112" s="34" t="s">
        <v>195</v>
      </c>
    </row>
    <row r="113" spans="1:1" x14ac:dyDescent="0.2">
      <c r="A113" s="34" t="s">
        <v>196</v>
      </c>
    </row>
    <row r="114" spans="1:1" x14ac:dyDescent="0.2">
      <c r="A114" s="34" t="s">
        <v>198</v>
      </c>
    </row>
    <row r="115" spans="1:1" x14ac:dyDescent="0.2">
      <c r="A115" s="34" t="s">
        <v>200</v>
      </c>
    </row>
    <row r="116" spans="1:1" x14ac:dyDescent="0.2">
      <c r="A116" s="34" t="s">
        <v>202</v>
      </c>
    </row>
    <row r="117" spans="1:1" x14ac:dyDescent="0.2">
      <c r="A117" s="34" t="s">
        <v>203</v>
      </c>
    </row>
    <row r="118" spans="1:1" x14ac:dyDescent="0.2">
      <c r="A118" s="34" t="s">
        <v>205</v>
      </c>
    </row>
    <row r="119" spans="1:1" x14ac:dyDescent="0.2">
      <c r="A119" s="34" t="s">
        <v>206</v>
      </c>
    </row>
    <row r="120" spans="1:1" x14ac:dyDescent="0.2">
      <c r="A120" s="34" t="s">
        <v>207</v>
      </c>
    </row>
    <row r="121" spans="1:1" x14ac:dyDescent="0.2">
      <c r="A121" s="34" t="s">
        <v>208</v>
      </c>
    </row>
    <row r="122" spans="1:1" x14ac:dyDescent="0.2">
      <c r="A122" s="34" t="s">
        <v>209</v>
      </c>
    </row>
    <row r="123" spans="1:1" x14ac:dyDescent="0.2">
      <c r="A123" s="34" t="s">
        <v>210</v>
      </c>
    </row>
    <row r="124" spans="1:1" x14ac:dyDescent="0.2">
      <c r="A124" s="34" t="s">
        <v>212</v>
      </c>
    </row>
    <row r="125" spans="1:1" x14ac:dyDescent="0.2">
      <c r="A125" s="34" t="s">
        <v>213</v>
      </c>
    </row>
    <row r="126" spans="1:1" x14ac:dyDescent="0.2">
      <c r="A126" s="34" t="s">
        <v>215</v>
      </c>
    </row>
    <row r="127" spans="1:1" x14ac:dyDescent="0.2">
      <c r="A127" s="34" t="s">
        <v>216</v>
      </c>
    </row>
    <row r="128" spans="1:1" x14ac:dyDescent="0.2">
      <c r="A128" s="34" t="s">
        <v>217</v>
      </c>
    </row>
    <row r="129" spans="1:1" x14ac:dyDescent="0.2">
      <c r="A129" s="34" t="s">
        <v>218</v>
      </c>
    </row>
    <row r="130" spans="1:1" x14ac:dyDescent="0.2">
      <c r="A130" s="34" t="s">
        <v>219</v>
      </c>
    </row>
    <row r="131" spans="1:1" x14ac:dyDescent="0.2">
      <c r="A131" s="34" t="s">
        <v>220</v>
      </c>
    </row>
    <row r="132" spans="1:1" x14ac:dyDescent="0.2">
      <c r="A132" s="34" t="s">
        <v>221</v>
      </c>
    </row>
    <row r="133" spans="1:1" x14ac:dyDescent="0.2">
      <c r="A133" s="34" t="s">
        <v>222</v>
      </c>
    </row>
    <row r="134" spans="1:1" x14ac:dyDescent="0.2">
      <c r="A134" s="34" t="s">
        <v>223</v>
      </c>
    </row>
    <row r="135" spans="1:1" x14ac:dyDescent="0.2">
      <c r="A135" s="34" t="s">
        <v>224</v>
      </c>
    </row>
    <row r="136" spans="1:1" x14ac:dyDescent="0.2">
      <c r="A136" s="34" t="s">
        <v>225</v>
      </c>
    </row>
    <row r="137" spans="1:1" x14ac:dyDescent="0.2">
      <c r="A137" s="34" t="s">
        <v>226</v>
      </c>
    </row>
    <row r="138" spans="1:1" x14ac:dyDescent="0.2">
      <c r="A138" s="34" t="s">
        <v>227</v>
      </c>
    </row>
    <row r="139" spans="1:1" x14ac:dyDescent="0.2">
      <c r="A139" s="34" t="s">
        <v>228</v>
      </c>
    </row>
    <row r="140" spans="1:1" x14ac:dyDescent="0.2">
      <c r="A140" s="34" t="s">
        <v>229</v>
      </c>
    </row>
    <row r="141" spans="1:1" x14ac:dyDescent="0.2">
      <c r="A141" s="34" t="s">
        <v>230</v>
      </c>
    </row>
    <row r="142" spans="1:1" x14ac:dyDescent="0.2">
      <c r="A142" s="34" t="s">
        <v>231</v>
      </c>
    </row>
    <row r="143" spans="1:1" x14ac:dyDescent="0.2">
      <c r="A143" s="34" t="s">
        <v>232</v>
      </c>
    </row>
    <row r="144" spans="1:1" x14ac:dyDescent="0.2">
      <c r="A144" s="34" t="s">
        <v>233</v>
      </c>
    </row>
    <row r="145" spans="1:1" x14ac:dyDescent="0.2">
      <c r="A145" s="34" t="s">
        <v>235</v>
      </c>
    </row>
    <row r="146" spans="1:1" x14ac:dyDescent="0.2">
      <c r="A146" s="34" t="s">
        <v>237</v>
      </c>
    </row>
    <row r="147" spans="1:1" x14ac:dyDescent="0.2">
      <c r="A147" s="34" t="s">
        <v>238</v>
      </c>
    </row>
    <row r="148" spans="1:1" x14ac:dyDescent="0.2">
      <c r="A148" s="34" t="s">
        <v>239</v>
      </c>
    </row>
    <row r="149" spans="1:1" x14ac:dyDescent="0.2">
      <c r="A149" s="34" t="s">
        <v>240</v>
      </c>
    </row>
    <row r="150" spans="1:1" x14ac:dyDescent="0.2">
      <c r="A150" s="34" t="s">
        <v>241</v>
      </c>
    </row>
    <row r="151" spans="1:1" x14ac:dyDescent="0.2">
      <c r="A151" s="34" t="s">
        <v>242</v>
      </c>
    </row>
    <row r="152" spans="1:1" x14ac:dyDescent="0.2">
      <c r="A152" s="34" t="s">
        <v>243</v>
      </c>
    </row>
    <row r="153" spans="1:1" x14ac:dyDescent="0.2">
      <c r="A153" s="34" t="s">
        <v>244</v>
      </c>
    </row>
    <row r="154" spans="1:1" x14ac:dyDescent="0.2">
      <c r="A154" s="34" t="s">
        <v>246</v>
      </c>
    </row>
    <row r="155" spans="1:1" x14ac:dyDescent="0.2">
      <c r="A155" s="34" t="s">
        <v>247</v>
      </c>
    </row>
    <row r="156" spans="1:1" x14ac:dyDescent="0.2">
      <c r="A156" s="34" t="s">
        <v>248</v>
      </c>
    </row>
    <row r="157" spans="1:1" x14ac:dyDescent="0.2">
      <c r="A157" s="34" t="s">
        <v>249</v>
      </c>
    </row>
    <row r="158" spans="1:1" x14ac:dyDescent="0.2">
      <c r="A158" s="34" t="s">
        <v>251</v>
      </c>
    </row>
    <row r="159" spans="1:1" x14ac:dyDescent="0.2">
      <c r="A159" s="34" t="s">
        <v>252</v>
      </c>
    </row>
    <row r="160" spans="1:1" x14ac:dyDescent="0.2">
      <c r="A160" s="34" t="s">
        <v>253</v>
      </c>
    </row>
    <row r="161" spans="1:1" x14ac:dyDescent="0.2">
      <c r="A161" s="34" t="s">
        <v>254</v>
      </c>
    </row>
    <row r="162" spans="1:1" x14ac:dyDescent="0.2">
      <c r="A162" s="34" t="s">
        <v>255</v>
      </c>
    </row>
    <row r="163" spans="1:1" x14ac:dyDescent="0.2">
      <c r="A163" s="34" t="s">
        <v>256</v>
      </c>
    </row>
    <row r="164" spans="1:1" x14ac:dyDescent="0.2">
      <c r="A164" s="34" t="s">
        <v>258</v>
      </c>
    </row>
    <row r="165" spans="1:1" x14ac:dyDescent="0.2">
      <c r="A165" s="34" t="s">
        <v>260</v>
      </c>
    </row>
    <row r="166" spans="1:1" x14ac:dyDescent="0.2">
      <c r="A166" s="34" t="s">
        <v>262</v>
      </c>
    </row>
    <row r="167" spans="1:1" x14ac:dyDescent="0.2">
      <c r="A167" s="34" t="s">
        <v>263</v>
      </c>
    </row>
    <row r="168" spans="1:1" x14ac:dyDescent="0.2">
      <c r="A168" s="34" t="s">
        <v>264</v>
      </c>
    </row>
    <row r="169" spans="1:1" x14ac:dyDescent="0.2">
      <c r="A169" s="34" t="s">
        <v>266</v>
      </c>
    </row>
    <row r="170" spans="1:1" x14ac:dyDescent="0.2">
      <c r="A170" s="34" t="s">
        <v>267</v>
      </c>
    </row>
    <row r="171" spans="1:1" x14ac:dyDescent="0.2">
      <c r="A171" s="34" t="s">
        <v>268</v>
      </c>
    </row>
    <row r="172" spans="1:1" x14ac:dyDescent="0.2">
      <c r="A172" s="34" t="s">
        <v>269</v>
      </c>
    </row>
    <row r="173" spans="1:1" x14ac:dyDescent="0.2">
      <c r="A173" s="34" t="s">
        <v>270</v>
      </c>
    </row>
    <row r="174" spans="1:1" x14ac:dyDescent="0.2">
      <c r="A174" s="34" t="s">
        <v>271</v>
      </c>
    </row>
    <row r="175" spans="1:1" x14ac:dyDescent="0.2">
      <c r="A175" s="34" t="s">
        <v>272</v>
      </c>
    </row>
    <row r="176" spans="1:1" x14ac:dyDescent="0.2">
      <c r="A176" s="34" t="s">
        <v>273</v>
      </c>
    </row>
    <row r="177" spans="1:1" x14ac:dyDescent="0.2">
      <c r="A177" s="34" t="s">
        <v>274</v>
      </c>
    </row>
    <row r="178" spans="1:1" x14ac:dyDescent="0.2">
      <c r="A178" s="34" t="s">
        <v>275</v>
      </c>
    </row>
    <row r="179" spans="1:1" x14ac:dyDescent="0.2">
      <c r="A179" s="34" t="s">
        <v>276</v>
      </c>
    </row>
    <row r="180" spans="1:1" x14ac:dyDescent="0.2">
      <c r="A180" s="34" t="s">
        <v>277</v>
      </c>
    </row>
    <row r="181" spans="1:1" x14ac:dyDescent="0.2">
      <c r="A181" s="34" t="s">
        <v>279</v>
      </c>
    </row>
    <row r="182" spans="1:1" x14ac:dyDescent="0.2">
      <c r="A182" s="34" t="s">
        <v>281</v>
      </c>
    </row>
    <row r="183" spans="1:1" x14ac:dyDescent="0.2">
      <c r="A183" s="34" t="s">
        <v>283</v>
      </c>
    </row>
    <row r="184" spans="1:1" x14ac:dyDescent="0.2">
      <c r="A184" s="34" t="s">
        <v>284</v>
      </c>
    </row>
    <row r="185" spans="1:1" x14ac:dyDescent="0.2">
      <c r="A185" s="34" t="s">
        <v>285</v>
      </c>
    </row>
    <row r="186" spans="1:1" x14ac:dyDescent="0.2">
      <c r="A186" s="34" t="s">
        <v>287</v>
      </c>
    </row>
    <row r="187" spans="1:1" x14ac:dyDescent="0.2">
      <c r="A187" s="34" t="s">
        <v>288</v>
      </c>
    </row>
    <row r="188" spans="1:1" x14ac:dyDescent="0.2">
      <c r="A188" s="34" t="s">
        <v>290</v>
      </c>
    </row>
    <row r="189" spans="1:1" x14ac:dyDescent="0.2">
      <c r="A189" s="34" t="s">
        <v>291</v>
      </c>
    </row>
    <row r="190" spans="1:1" x14ac:dyDescent="0.2">
      <c r="A190" s="34" t="s">
        <v>292</v>
      </c>
    </row>
    <row r="191" spans="1:1" x14ac:dyDescent="0.2">
      <c r="A191" s="34" t="s">
        <v>293</v>
      </c>
    </row>
    <row r="192" spans="1:1" x14ac:dyDescent="0.2">
      <c r="A192" s="34" t="s">
        <v>295</v>
      </c>
    </row>
    <row r="193" spans="1:1" x14ac:dyDescent="0.2">
      <c r="A193" s="34" t="s">
        <v>296</v>
      </c>
    </row>
    <row r="194" spans="1:1" x14ac:dyDescent="0.2">
      <c r="A194" s="34" t="s">
        <v>297</v>
      </c>
    </row>
    <row r="195" spans="1:1" x14ac:dyDescent="0.2">
      <c r="A195" s="34" t="s">
        <v>299</v>
      </c>
    </row>
    <row r="196" spans="1:1" x14ac:dyDescent="0.2">
      <c r="A196" s="34" t="s">
        <v>300</v>
      </c>
    </row>
    <row r="197" spans="1:1" x14ac:dyDescent="0.2">
      <c r="A197" s="34" t="s">
        <v>301</v>
      </c>
    </row>
    <row r="198" spans="1:1" x14ac:dyDescent="0.2">
      <c r="A198" s="34" t="s">
        <v>303</v>
      </c>
    </row>
    <row r="199" spans="1:1" x14ac:dyDescent="0.2">
      <c r="A199" s="34" t="s">
        <v>305</v>
      </c>
    </row>
    <row r="200" spans="1:1" x14ac:dyDescent="0.2">
      <c r="A200" s="34" t="s">
        <v>306</v>
      </c>
    </row>
    <row r="201" spans="1:1" x14ac:dyDescent="0.2">
      <c r="A201" s="34" t="s">
        <v>307</v>
      </c>
    </row>
    <row r="202" spans="1:1" x14ac:dyDescent="0.2">
      <c r="A202" s="34" t="s">
        <v>308</v>
      </c>
    </row>
    <row r="203" spans="1:1" x14ac:dyDescent="0.2">
      <c r="A203" s="34" t="s">
        <v>310</v>
      </c>
    </row>
    <row r="204" spans="1:1" x14ac:dyDescent="0.2">
      <c r="A204" s="34" t="s">
        <v>311</v>
      </c>
    </row>
    <row r="205" spans="1:1" x14ac:dyDescent="0.2">
      <c r="A205" s="34" t="s">
        <v>312</v>
      </c>
    </row>
    <row r="206" spans="1:1" x14ac:dyDescent="0.2">
      <c r="A206" s="34" t="s">
        <v>313</v>
      </c>
    </row>
    <row r="207" spans="1:1" x14ac:dyDescent="0.2">
      <c r="A207" s="34" t="s">
        <v>314</v>
      </c>
    </row>
    <row r="208" spans="1:1" x14ac:dyDescent="0.2">
      <c r="A208" s="34" t="s">
        <v>315</v>
      </c>
    </row>
    <row r="209" spans="1:1" x14ac:dyDescent="0.2">
      <c r="A209" s="34" t="s">
        <v>316</v>
      </c>
    </row>
    <row r="210" spans="1:1" x14ac:dyDescent="0.2">
      <c r="A210" s="34" t="s">
        <v>317</v>
      </c>
    </row>
    <row r="211" spans="1:1" x14ac:dyDescent="0.2">
      <c r="A211" s="34" t="s">
        <v>319</v>
      </c>
    </row>
    <row r="212" spans="1:1" x14ac:dyDescent="0.2">
      <c r="A212" s="34" t="s">
        <v>320</v>
      </c>
    </row>
    <row r="213" spans="1:1" x14ac:dyDescent="0.2">
      <c r="A213" s="34" t="s">
        <v>321</v>
      </c>
    </row>
    <row r="214" spans="1:1" x14ac:dyDescent="0.2">
      <c r="A214" s="34" t="s">
        <v>322</v>
      </c>
    </row>
    <row r="215" spans="1:1" x14ac:dyDescent="0.2">
      <c r="A215" s="34" t="s">
        <v>324</v>
      </c>
    </row>
    <row r="216" spans="1:1" x14ac:dyDescent="0.2">
      <c r="A216" s="34" t="s">
        <v>325</v>
      </c>
    </row>
    <row r="217" spans="1:1" x14ac:dyDescent="0.2">
      <c r="A217" s="34" t="s">
        <v>326</v>
      </c>
    </row>
    <row r="218" spans="1:1" x14ac:dyDescent="0.2">
      <c r="A218" s="34" t="s">
        <v>327</v>
      </c>
    </row>
    <row r="219" spans="1:1" x14ac:dyDescent="0.2">
      <c r="A219" s="34" t="s">
        <v>328</v>
      </c>
    </row>
    <row r="220" spans="1:1" x14ac:dyDescent="0.2">
      <c r="A220" s="34" t="s">
        <v>330</v>
      </c>
    </row>
    <row r="221" spans="1:1" x14ac:dyDescent="0.2">
      <c r="A221" s="34" t="s">
        <v>331</v>
      </c>
    </row>
    <row r="222" spans="1:1" x14ac:dyDescent="0.2">
      <c r="A222" s="34" t="s">
        <v>332</v>
      </c>
    </row>
    <row r="223" spans="1:1" x14ac:dyDescent="0.2">
      <c r="A223" s="34" t="s">
        <v>333</v>
      </c>
    </row>
    <row r="224" spans="1:1" x14ac:dyDescent="0.2">
      <c r="A224" s="34" t="s">
        <v>335</v>
      </c>
    </row>
    <row r="225" spans="1:1" x14ac:dyDescent="0.2">
      <c r="A225" s="34" t="s">
        <v>336</v>
      </c>
    </row>
    <row r="226" spans="1:1" x14ac:dyDescent="0.2">
      <c r="A226" s="34" t="s">
        <v>337</v>
      </c>
    </row>
    <row r="227" spans="1:1" x14ac:dyDescent="0.2">
      <c r="A227" s="34" t="s">
        <v>338</v>
      </c>
    </row>
    <row r="228" spans="1:1" x14ac:dyDescent="0.2">
      <c r="A228" s="34" t="s">
        <v>339</v>
      </c>
    </row>
    <row r="229" spans="1:1" x14ac:dyDescent="0.2">
      <c r="A229" s="34" t="s">
        <v>340</v>
      </c>
    </row>
    <row r="230" spans="1:1" x14ac:dyDescent="0.2">
      <c r="A230" s="34" t="s">
        <v>342</v>
      </c>
    </row>
    <row r="231" spans="1:1" x14ac:dyDescent="0.2">
      <c r="A231" s="34" t="s">
        <v>343</v>
      </c>
    </row>
    <row r="232" spans="1:1" x14ac:dyDescent="0.2">
      <c r="A232" s="34" t="s">
        <v>344</v>
      </c>
    </row>
    <row r="233" spans="1:1" x14ac:dyDescent="0.2">
      <c r="A233" s="34" t="s">
        <v>345</v>
      </c>
    </row>
    <row r="234" spans="1:1" x14ac:dyDescent="0.2">
      <c r="A234" s="34" t="s">
        <v>347</v>
      </c>
    </row>
    <row r="235" spans="1:1" x14ac:dyDescent="0.2">
      <c r="A235" s="34" t="s">
        <v>348</v>
      </c>
    </row>
    <row r="236" spans="1:1" x14ac:dyDescent="0.2">
      <c r="A236" s="34" t="s">
        <v>349</v>
      </c>
    </row>
    <row r="237" spans="1:1" x14ac:dyDescent="0.2">
      <c r="A237" s="34" t="s">
        <v>350</v>
      </c>
    </row>
    <row r="238" spans="1:1" x14ac:dyDescent="0.2">
      <c r="A238" s="34" t="s">
        <v>351</v>
      </c>
    </row>
    <row r="239" spans="1:1" x14ac:dyDescent="0.2">
      <c r="A239" s="34" t="s">
        <v>352</v>
      </c>
    </row>
    <row r="240" spans="1:1" x14ac:dyDescent="0.2">
      <c r="A240" s="34" t="s">
        <v>353</v>
      </c>
    </row>
    <row r="241" spans="1:1" x14ac:dyDescent="0.2">
      <c r="A241" s="34" t="s">
        <v>355</v>
      </c>
    </row>
    <row r="242" spans="1:1" x14ac:dyDescent="0.2">
      <c r="A242" s="34" t="s">
        <v>356</v>
      </c>
    </row>
    <row r="243" spans="1:1" x14ac:dyDescent="0.2">
      <c r="A243" s="34" t="s">
        <v>357</v>
      </c>
    </row>
    <row r="244" spans="1:1" x14ac:dyDescent="0.2">
      <c r="A244" s="34" t="s">
        <v>358</v>
      </c>
    </row>
    <row r="245" spans="1:1" x14ac:dyDescent="0.2">
      <c r="A245" s="34" t="s">
        <v>359</v>
      </c>
    </row>
    <row r="246" spans="1:1" x14ac:dyDescent="0.2">
      <c r="A246" s="34" t="s">
        <v>360</v>
      </c>
    </row>
    <row r="247" spans="1:1" x14ac:dyDescent="0.2">
      <c r="A247" s="34" t="s">
        <v>361</v>
      </c>
    </row>
    <row r="248" spans="1:1" x14ac:dyDescent="0.2">
      <c r="A248" s="34" t="s">
        <v>362</v>
      </c>
    </row>
    <row r="249" spans="1:1" x14ac:dyDescent="0.2">
      <c r="A249" s="34" t="s">
        <v>364</v>
      </c>
    </row>
    <row r="250" spans="1:1" x14ac:dyDescent="0.2">
      <c r="A250" s="34" t="s">
        <v>365</v>
      </c>
    </row>
    <row r="251" spans="1:1" x14ac:dyDescent="0.2">
      <c r="A251" s="34" t="s">
        <v>367</v>
      </c>
    </row>
    <row r="252" spans="1:1" x14ac:dyDescent="0.2">
      <c r="A252" s="34" t="s">
        <v>368</v>
      </c>
    </row>
    <row r="253" spans="1:1" x14ac:dyDescent="0.2">
      <c r="A253" s="34" t="s">
        <v>369</v>
      </c>
    </row>
    <row r="254" spans="1:1" x14ac:dyDescent="0.2">
      <c r="A254" s="34" t="s">
        <v>370</v>
      </c>
    </row>
    <row r="255" spans="1:1" x14ac:dyDescent="0.2">
      <c r="A255" s="34" t="s">
        <v>371</v>
      </c>
    </row>
    <row r="256" spans="1:1" x14ac:dyDescent="0.2">
      <c r="A256" s="34" t="s">
        <v>373</v>
      </c>
    </row>
    <row r="257" spans="1:1" x14ac:dyDescent="0.2">
      <c r="A257" s="34" t="s">
        <v>374</v>
      </c>
    </row>
    <row r="258" spans="1:1" x14ac:dyDescent="0.2">
      <c r="A258" s="34" t="s">
        <v>375</v>
      </c>
    </row>
    <row r="259" spans="1:1" x14ac:dyDescent="0.2">
      <c r="A259" s="34" t="s">
        <v>376</v>
      </c>
    </row>
    <row r="260" spans="1:1" x14ac:dyDescent="0.2">
      <c r="A260" s="34" t="s">
        <v>377</v>
      </c>
    </row>
    <row r="261" spans="1:1" x14ac:dyDescent="0.2">
      <c r="A261" s="34" t="s">
        <v>378</v>
      </c>
    </row>
    <row r="262" spans="1:1" x14ac:dyDescent="0.2">
      <c r="A262" s="34" t="s">
        <v>380</v>
      </c>
    </row>
    <row r="263" spans="1:1" x14ac:dyDescent="0.2">
      <c r="A263" s="34" t="s">
        <v>381</v>
      </c>
    </row>
    <row r="264" spans="1:1" x14ac:dyDescent="0.2">
      <c r="A264" s="34" t="s">
        <v>382</v>
      </c>
    </row>
    <row r="265" spans="1:1" x14ac:dyDescent="0.2">
      <c r="A265" s="34" t="s">
        <v>384</v>
      </c>
    </row>
    <row r="266" spans="1:1" x14ac:dyDescent="0.2">
      <c r="A266" s="34" t="s">
        <v>385</v>
      </c>
    </row>
    <row r="267" spans="1:1" x14ac:dyDescent="0.2">
      <c r="A267" s="34" t="s">
        <v>386</v>
      </c>
    </row>
    <row r="268" spans="1:1" x14ac:dyDescent="0.2">
      <c r="A268" s="34" t="s">
        <v>388</v>
      </c>
    </row>
    <row r="269" spans="1:1" x14ac:dyDescent="0.2">
      <c r="A269" s="34" t="s">
        <v>390</v>
      </c>
    </row>
    <row r="270" spans="1:1" x14ac:dyDescent="0.2">
      <c r="A270" s="34" t="s">
        <v>391</v>
      </c>
    </row>
    <row r="271" spans="1:1" x14ac:dyDescent="0.2">
      <c r="A271" s="34" t="s">
        <v>392</v>
      </c>
    </row>
    <row r="272" spans="1:1" x14ac:dyDescent="0.2">
      <c r="A272" s="34" t="s">
        <v>395</v>
      </c>
    </row>
    <row r="273" spans="1:1" x14ac:dyDescent="0.2">
      <c r="A273" s="34" t="s">
        <v>396</v>
      </c>
    </row>
    <row r="274" spans="1:1" x14ac:dyDescent="0.2">
      <c r="A274" s="34" t="s">
        <v>397</v>
      </c>
    </row>
    <row r="275" spans="1:1" x14ac:dyDescent="0.2">
      <c r="A275" s="34" t="s">
        <v>398</v>
      </c>
    </row>
    <row r="276" spans="1:1" x14ac:dyDescent="0.2">
      <c r="A276" s="34" t="s">
        <v>399</v>
      </c>
    </row>
    <row r="277" spans="1:1" x14ac:dyDescent="0.2">
      <c r="A277" s="34" t="s">
        <v>401</v>
      </c>
    </row>
    <row r="278" spans="1:1" x14ac:dyDescent="0.2">
      <c r="A278" s="34" t="s">
        <v>402</v>
      </c>
    </row>
    <row r="279" spans="1:1" x14ac:dyDescent="0.2">
      <c r="A279" s="34" t="s">
        <v>403</v>
      </c>
    </row>
    <row r="280" spans="1:1" x14ac:dyDescent="0.2">
      <c r="A280" s="34" t="s">
        <v>404</v>
      </c>
    </row>
    <row r="281" spans="1:1" x14ac:dyDescent="0.2">
      <c r="A281" s="34" t="s">
        <v>405</v>
      </c>
    </row>
    <row r="282" spans="1:1" x14ac:dyDescent="0.2">
      <c r="A282" s="34" t="s">
        <v>406</v>
      </c>
    </row>
    <row r="283" spans="1:1" x14ac:dyDescent="0.2">
      <c r="A283" s="34" t="s">
        <v>407</v>
      </c>
    </row>
    <row r="284" spans="1:1" x14ac:dyDescent="0.2">
      <c r="A284" s="34" t="s">
        <v>408</v>
      </c>
    </row>
    <row r="285" spans="1:1" x14ac:dyDescent="0.2">
      <c r="A285" s="34" t="s">
        <v>409</v>
      </c>
    </row>
    <row r="286" spans="1:1" x14ac:dyDescent="0.2">
      <c r="A286" s="34" t="s">
        <v>411</v>
      </c>
    </row>
    <row r="287" spans="1:1" x14ac:dyDescent="0.2">
      <c r="A287" s="34" t="s">
        <v>412</v>
      </c>
    </row>
    <row r="288" spans="1:1" x14ac:dyDescent="0.2">
      <c r="A288" s="34" t="s">
        <v>413</v>
      </c>
    </row>
    <row r="289" spans="1:1" x14ac:dyDescent="0.2">
      <c r="A289" s="34" t="s">
        <v>414</v>
      </c>
    </row>
    <row r="290" spans="1:1" x14ac:dyDescent="0.2">
      <c r="A290" s="34" t="s">
        <v>416</v>
      </c>
    </row>
    <row r="291" spans="1:1" x14ac:dyDescent="0.2">
      <c r="A291" s="34" t="s">
        <v>417</v>
      </c>
    </row>
    <row r="292" spans="1:1" x14ac:dyDescent="0.2">
      <c r="A292" s="34" t="s">
        <v>418</v>
      </c>
    </row>
    <row r="293" spans="1:1" x14ac:dyDescent="0.2">
      <c r="A293" s="34" t="s">
        <v>420</v>
      </c>
    </row>
    <row r="294" spans="1:1" x14ac:dyDescent="0.2">
      <c r="A294" s="34" t="s">
        <v>421</v>
      </c>
    </row>
    <row r="295" spans="1:1" x14ac:dyDescent="0.2">
      <c r="A295" s="34" t="s">
        <v>423</v>
      </c>
    </row>
    <row r="296" spans="1:1" x14ac:dyDescent="0.2">
      <c r="A296" s="34" t="s">
        <v>424</v>
      </c>
    </row>
    <row r="297" spans="1:1" x14ac:dyDescent="0.2">
      <c r="A297" s="34" t="s">
        <v>425</v>
      </c>
    </row>
    <row r="298" spans="1:1" x14ac:dyDescent="0.2">
      <c r="A298" s="34" t="s">
        <v>426</v>
      </c>
    </row>
    <row r="299" spans="1:1" x14ac:dyDescent="0.2">
      <c r="A299" s="34" t="s">
        <v>427</v>
      </c>
    </row>
    <row r="300" spans="1:1" x14ac:dyDescent="0.2">
      <c r="A300" s="34" t="s">
        <v>428</v>
      </c>
    </row>
    <row r="301" spans="1:1" x14ac:dyDescent="0.2">
      <c r="A301" s="34" t="s">
        <v>430</v>
      </c>
    </row>
    <row r="302" spans="1:1" x14ac:dyDescent="0.2">
      <c r="A302" s="34" t="s">
        <v>432</v>
      </c>
    </row>
    <row r="303" spans="1:1" x14ac:dyDescent="0.2">
      <c r="A303" s="34" t="s">
        <v>433</v>
      </c>
    </row>
    <row r="304" spans="1:1" x14ac:dyDescent="0.2">
      <c r="A304" s="34" t="s">
        <v>434</v>
      </c>
    </row>
    <row r="305" spans="1:1" x14ac:dyDescent="0.2">
      <c r="A305" s="34" t="s">
        <v>435</v>
      </c>
    </row>
    <row r="306" spans="1:1" x14ac:dyDescent="0.2">
      <c r="A306" s="34" t="s">
        <v>436</v>
      </c>
    </row>
    <row r="307" spans="1:1" x14ac:dyDescent="0.2">
      <c r="A307" s="34" t="s">
        <v>437</v>
      </c>
    </row>
    <row r="308" spans="1:1" x14ac:dyDescent="0.2">
      <c r="A308" s="34" t="s">
        <v>438</v>
      </c>
    </row>
    <row r="309" spans="1:1" x14ac:dyDescent="0.2">
      <c r="A309" s="34" t="s">
        <v>439</v>
      </c>
    </row>
    <row r="310" spans="1:1" x14ac:dyDescent="0.2">
      <c r="A310" s="34" t="s">
        <v>440</v>
      </c>
    </row>
    <row r="311" spans="1:1" x14ac:dyDescent="0.2">
      <c r="A311" s="34" t="s">
        <v>441</v>
      </c>
    </row>
    <row r="312" spans="1:1" x14ac:dyDescent="0.2">
      <c r="A312" s="34" t="s">
        <v>442</v>
      </c>
    </row>
    <row r="313" spans="1:1" x14ac:dyDescent="0.2">
      <c r="A313" s="34" t="s">
        <v>443</v>
      </c>
    </row>
    <row r="314" spans="1:1" x14ac:dyDescent="0.2">
      <c r="A314" s="34" t="s">
        <v>444</v>
      </c>
    </row>
    <row r="315" spans="1:1" x14ac:dyDescent="0.2">
      <c r="A315" s="34" t="s">
        <v>445</v>
      </c>
    </row>
    <row r="316" spans="1:1" x14ac:dyDescent="0.2">
      <c r="A316" s="34" t="s">
        <v>446</v>
      </c>
    </row>
    <row r="317" spans="1:1" x14ac:dyDescent="0.2">
      <c r="A317" s="34" t="s">
        <v>447</v>
      </c>
    </row>
    <row r="318" spans="1:1" x14ac:dyDescent="0.2">
      <c r="A318" s="34" t="s">
        <v>448</v>
      </c>
    </row>
    <row r="319" spans="1:1" x14ac:dyDescent="0.2">
      <c r="A319" s="34" t="s">
        <v>449</v>
      </c>
    </row>
    <row r="320" spans="1:1" x14ac:dyDescent="0.2">
      <c r="A320" s="34" t="s">
        <v>450</v>
      </c>
    </row>
    <row r="321" spans="1:1" x14ac:dyDescent="0.2">
      <c r="A321" s="34" t="s">
        <v>451</v>
      </c>
    </row>
    <row r="322" spans="1:1" x14ac:dyDescent="0.2">
      <c r="A322" s="34" t="s">
        <v>452</v>
      </c>
    </row>
    <row r="323" spans="1:1" x14ac:dyDescent="0.2">
      <c r="A323" s="34" t="s">
        <v>453</v>
      </c>
    </row>
    <row r="324" spans="1:1" x14ac:dyDescent="0.2">
      <c r="A324" s="34" t="s">
        <v>454</v>
      </c>
    </row>
    <row r="325" spans="1:1" x14ac:dyDescent="0.2">
      <c r="A325" s="34" t="s">
        <v>455</v>
      </c>
    </row>
    <row r="326" spans="1:1" x14ac:dyDescent="0.2">
      <c r="A326" s="34" t="s">
        <v>456</v>
      </c>
    </row>
    <row r="327" spans="1:1" x14ac:dyDescent="0.2">
      <c r="A327" s="34" t="s">
        <v>457</v>
      </c>
    </row>
    <row r="328" spans="1:1" x14ac:dyDescent="0.2">
      <c r="A328" s="34" t="s">
        <v>458</v>
      </c>
    </row>
    <row r="329" spans="1:1" x14ac:dyDescent="0.2">
      <c r="A329" s="34" t="s">
        <v>459</v>
      </c>
    </row>
    <row r="330" spans="1:1" x14ac:dyDescent="0.2">
      <c r="A330" s="34" t="s">
        <v>460</v>
      </c>
    </row>
    <row r="331" spans="1:1" x14ac:dyDescent="0.2">
      <c r="A331" s="34" t="s">
        <v>461</v>
      </c>
    </row>
    <row r="332" spans="1:1" x14ac:dyDescent="0.2">
      <c r="A332" s="34" t="s">
        <v>463</v>
      </c>
    </row>
    <row r="333" spans="1:1" x14ac:dyDescent="0.2">
      <c r="A333" s="34" t="s">
        <v>464</v>
      </c>
    </row>
    <row r="334" spans="1:1" x14ac:dyDescent="0.2">
      <c r="A334" s="34" t="s">
        <v>465</v>
      </c>
    </row>
    <row r="335" spans="1:1" x14ac:dyDescent="0.2">
      <c r="A335" s="34" t="s">
        <v>466</v>
      </c>
    </row>
    <row r="336" spans="1:1" x14ac:dyDescent="0.2">
      <c r="A336" s="34" t="s">
        <v>467</v>
      </c>
    </row>
    <row r="337" spans="1:1" x14ac:dyDescent="0.2">
      <c r="A337" s="34" t="s">
        <v>468</v>
      </c>
    </row>
    <row r="338" spans="1:1" x14ac:dyDescent="0.2">
      <c r="A338" s="34" t="s">
        <v>469</v>
      </c>
    </row>
    <row r="339" spans="1:1" x14ac:dyDescent="0.2">
      <c r="A339" s="34" t="s">
        <v>470</v>
      </c>
    </row>
    <row r="340" spans="1:1" x14ac:dyDescent="0.2">
      <c r="A340" s="34" t="s">
        <v>471</v>
      </c>
    </row>
    <row r="341" spans="1:1" x14ac:dyDescent="0.2">
      <c r="A341" s="34" t="s">
        <v>472</v>
      </c>
    </row>
    <row r="342" spans="1:1" x14ac:dyDescent="0.2">
      <c r="A342" s="34" t="s">
        <v>473</v>
      </c>
    </row>
    <row r="343" spans="1:1" x14ac:dyDescent="0.2">
      <c r="A343" s="34" t="s">
        <v>474</v>
      </c>
    </row>
    <row r="344" spans="1:1" x14ac:dyDescent="0.2">
      <c r="A344" s="34" t="s">
        <v>475</v>
      </c>
    </row>
    <row r="345" spans="1:1" x14ac:dyDescent="0.2">
      <c r="A345" s="34" t="s">
        <v>476</v>
      </c>
    </row>
    <row r="346" spans="1:1" x14ac:dyDescent="0.2">
      <c r="A346" s="34" t="s">
        <v>477</v>
      </c>
    </row>
    <row r="347" spans="1:1" x14ac:dyDescent="0.2">
      <c r="A347" s="34" t="s">
        <v>479</v>
      </c>
    </row>
    <row r="348" spans="1:1" x14ac:dyDescent="0.2">
      <c r="A348" s="34" t="s">
        <v>481</v>
      </c>
    </row>
    <row r="349" spans="1:1" x14ac:dyDescent="0.2">
      <c r="A349" s="34" t="s">
        <v>482</v>
      </c>
    </row>
    <row r="350" spans="1:1" x14ac:dyDescent="0.2">
      <c r="A350" s="34" t="s">
        <v>483</v>
      </c>
    </row>
    <row r="351" spans="1:1" x14ac:dyDescent="0.2">
      <c r="A351" s="34" t="s">
        <v>484</v>
      </c>
    </row>
    <row r="352" spans="1:1" x14ac:dyDescent="0.2">
      <c r="A352" s="34" t="s">
        <v>485</v>
      </c>
    </row>
    <row r="353" spans="1:1" x14ac:dyDescent="0.2">
      <c r="A353" s="34" t="s">
        <v>486</v>
      </c>
    </row>
    <row r="354" spans="1:1" x14ac:dyDescent="0.2">
      <c r="A354" s="34" t="s">
        <v>487</v>
      </c>
    </row>
    <row r="355" spans="1:1" x14ac:dyDescent="0.2">
      <c r="A355" s="34" t="s">
        <v>488</v>
      </c>
    </row>
    <row r="356" spans="1:1" x14ac:dyDescent="0.2">
      <c r="A356" s="34" t="s">
        <v>490</v>
      </c>
    </row>
    <row r="357" spans="1:1" x14ac:dyDescent="0.2">
      <c r="A357" s="34" t="s">
        <v>492</v>
      </c>
    </row>
    <row r="358" spans="1:1" x14ac:dyDescent="0.2">
      <c r="A358" s="34" t="s">
        <v>493</v>
      </c>
    </row>
    <row r="359" spans="1:1" x14ac:dyDescent="0.2">
      <c r="A359" s="34" t="s">
        <v>494</v>
      </c>
    </row>
    <row r="360" spans="1:1" x14ac:dyDescent="0.2">
      <c r="A360" s="34" t="s">
        <v>495</v>
      </c>
    </row>
    <row r="361" spans="1:1" x14ac:dyDescent="0.2">
      <c r="A361" s="34" t="s">
        <v>496</v>
      </c>
    </row>
    <row r="362" spans="1:1" x14ac:dyDescent="0.2">
      <c r="A362" s="34" t="s">
        <v>497</v>
      </c>
    </row>
    <row r="363" spans="1:1" x14ac:dyDescent="0.2">
      <c r="A363" s="34" t="s">
        <v>498</v>
      </c>
    </row>
    <row r="364" spans="1:1" x14ac:dyDescent="0.2">
      <c r="A364" s="34" t="s">
        <v>500</v>
      </c>
    </row>
    <row r="365" spans="1:1" x14ac:dyDescent="0.2">
      <c r="A365" s="34" t="s">
        <v>501</v>
      </c>
    </row>
    <row r="366" spans="1:1" x14ac:dyDescent="0.2">
      <c r="A366" s="34" t="s">
        <v>503</v>
      </c>
    </row>
    <row r="367" spans="1:1" x14ac:dyDescent="0.2">
      <c r="A367" s="34" t="s">
        <v>504</v>
      </c>
    </row>
    <row r="368" spans="1:1" x14ac:dyDescent="0.2">
      <c r="A368" s="34" t="s">
        <v>505</v>
      </c>
    </row>
    <row r="369" spans="1:1" x14ac:dyDescent="0.2">
      <c r="A369" s="34" t="s">
        <v>507</v>
      </c>
    </row>
    <row r="370" spans="1:1" x14ac:dyDescent="0.2">
      <c r="A370" s="34" t="s">
        <v>509</v>
      </c>
    </row>
    <row r="371" spans="1:1" x14ac:dyDescent="0.2">
      <c r="A371" s="34" t="s">
        <v>510</v>
      </c>
    </row>
    <row r="372" spans="1:1" x14ac:dyDescent="0.2">
      <c r="A372" s="34" t="s">
        <v>511</v>
      </c>
    </row>
    <row r="373" spans="1:1" x14ac:dyDescent="0.2">
      <c r="A373" s="34" t="s">
        <v>512</v>
      </c>
    </row>
    <row r="374" spans="1:1" x14ac:dyDescent="0.2">
      <c r="A374" s="34" t="s">
        <v>513</v>
      </c>
    </row>
    <row r="375" spans="1:1" x14ac:dyDescent="0.2">
      <c r="A375" s="34" t="s">
        <v>514</v>
      </c>
    </row>
    <row r="376" spans="1:1" x14ac:dyDescent="0.2">
      <c r="A376" s="34" t="s">
        <v>515</v>
      </c>
    </row>
    <row r="377" spans="1:1" x14ac:dyDescent="0.2">
      <c r="A377" s="34" t="s">
        <v>516</v>
      </c>
    </row>
    <row r="378" spans="1:1" x14ac:dyDescent="0.2">
      <c r="A378" s="34" t="s">
        <v>518</v>
      </c>
    </row>
    <row r="379" spans="1:1" x14ac:dyDescent="0.2">
      <c r="A379" s="34" t="s">
        <v>519</v>
      </c>
    </row>
    <row r="380" spans="1:1" x14ac:dyDescent="0.2">
      <c r="A380" s="34" t="s">
        <v>520</v>
      </c>
    </row>
    <row r="381" spans="1:1" x14ac:dyDescent="0.2">
      <c r="A381" s="34" t="s">
        <v>521</v>
      </c>
    </row>
    <row r="382" spans="1:1" x14ac:dyDescent="0.2">
      <c r="A382" s="34" t="s">
        <v>522</v>
      </c>
    </row>
    <row r="383" spans="1:1" x14ac:dyDescent="0.2">
      <c r="A383" s="34" t="s">
        <v>523</v>
      </c>
    </row>
    <row r="384" spans="1:1" x14ac:dyDescent="0.2">
      <c r="A384" s="34" t="s">
        <v>524</v>
      </c>
    </row>
    <row r="385" spans="1:1" x14ac:dyDescent="0.2">
      <c r="A385" s="34" t="s">
        <v>525</v>
      </c>
    </row>
    <row r="386" spans="1:1" x14ac:dyDescent="0.2">
      <c r="A386" s="34" t="s">
        <v>526</v>
      </c>
    </row>
    <row r="387" spans="1:1" x14ac:dyDescent="0.2">
      <c r="A387" s="34" t="s">
        <v>527</v>
      </c>
    </row>
    <row r="388" spans="1:1" x14ac:dyDescent="0.2">
      <c r="A388" s="34" t="s">
        <v>528</v>
      </c>
    </row>
    <row r="389" spans="1:1" x14ac:dyDescent="0.2">
      <c r="A389" s="34" t="s">
        <v>529</v>
      </c>
    </row>
    <row r="390" spans="1:1" x14ac:dyDescent="0.2">
      <c r="A390" s="34" t="s">
        <v>530</v>
      </c>
    </row>
    <row r="391" spans="1:1" x14ac:dyDescent="0.2">
      <c r="A391" s="34" t="s">
        <v>531</v>
      </c>
    </row>
    <row r="392" spans="1:1" x14ac:dyDescent="0.2">
      <c r="A392" s="34" t="s">
        <v>532</v>
      </c>
    </row>
    <row r="393" spans="1:1" x14ac:dyDescent="0.2">
      <c r="A393" s="34" t="s">
        <v>533</v>
      </c>
    </row>
    <row r="394" spans="1:1" x14ac:dyDescent="0.2">
      <c r="A394" s="34" t="s">
        <v>534</v>
      </c>
    </row>
    <row r="395" spans="1:1" x14ac:dyDescent="0.2">
      <c r="A395" s="34" t="s">
        <v>535</v>
      </c>
    </row>
    <row r="396" spans="1:1" x14ac:dyDescent="0.2">
      <c r="A396" s="34" t="s">
        <v>536</v>
      </c>
    </row>
    <row r="397" spans="1:1" x14ac:dyDescent="0.2">
      <c r="A397" s="34" t="s">
        <v>537</v>
      </c>
    </row>
    <row r="398" spans="1:1" x14ac:dyDescent="0.2">
      <c r="A398" s="34" t="s">
        <v>538</v>
      </c>
    </row>
    <row r="399" spans="1:1" x14ac:dyDescent="0.2">
      <c r="A399" s="34" t="s">
        <v>539</v>
      </c>
    </row>
    <row r="400" spans="1:1" x14ac:dyDescent="0.2">
      <c r="A400" s="34" t="s">
        <v>540</v>
      </c>
    </row>
    <row r="401" spans="1:1" x14ac:dyDescent="0.2">
      <c r="A401" s="34" t="s">
        <v>541</v>
      </c>
    </row>
    <row r="402" spans="1:1" x14ac:dyDescent="0.2">
      <c r="A402" s="34" t="s">
        <v>542</v>
      </c>
    </row>
    <row r="403" spans="1:1" x14ac:dyDescent="0.2">
      <c r="A403" s="34" t="s">
        <v>543</v>
      </c>
    </row>
    <row r="404" spans="1:1" x14ac:dyDescent="0.2">
      <c r="A404" s="34" t="s">
        <v>544</v>
      </c>
    </row>
    <row r="405" spans="1:1" x14ac:dyDescent="0.2">
      <c r="A405" s="34" t="s">
        <v>545</v>
      </c>
    </row>
    <row r="406" spans="1:1" x14ac:dyDescent="0.2">
      <c r="A406" s="34" t="s">
        <v>546</v>
      </c>
    </row>
    <row r="407" spans="1:1" x14ac:dyDescent="0.2">
      <c r="A407" s="34" t="s">
        <v>547</v>
      </c>
    </row>
    <row r="408" spans="1:1" x14ac:dyDescent="0.2">
      <c r="A408" s="34" t="s">
        <v>548</v>
      </c>
    </row>
    <row r="409" spans="1:1" x14ac:dyDescent="0.2">
      <c r="A409" s="34" t="s">
        <v>549</v>
      </c>
    </row>
    <row r="410" spans="1:1" x14ac:dyDescent="0.2">
      <c r="A410" s="34" t="s">
        <v>550</v>
      </c>
    </row>
    <row r="411" spans="1:1" x14ac:dyDescent="0.2">
      <c r="A411" s="34" t="s">
        <v>551</v>
      </c>
    </row>
    <row r="412" spans="1:1" x14ac:dyDescent="0.2">
      <c r="A412" s="34" t="s">
        <v>552</v>
      </c>
    </row>
    <row r="413" spans="1:1" x14ac:dyDescent="0.2">
      <c r="A413" s="34" t="s">
        <v>553</v>
      </c>
    </row>
    <row r="414" spans="1:1" x14ac:dyDescent="0.2">
      <c r="A414" s="34" t="s">
        <v>555</v>
      </c>
    </row>
    <row r="415" spans="1:1" x14ac:dyDescent="0.2">
      <c r="A415" s="34" t="s">
        <v>556</v>
      </c>
    </row>
    <row r="416" spans="1:1" x14ac:dyDescent="0.2">
      <c r="A416" s="34" t="s">
        <v>557</v>
      </c>
    </row>
    <row r="417" spans="1:1" x14ac:dyDescent="0.2">
      <c r="A417" s="34" t="s">
        <v>558</v>
      </c>
    </row>
    <row r="418" spans="1:1" x14ac:dyDescent="0.2">
      <c r="A418" s="34" t="s">
        <v>559</v>
      </c>
    </row>
    <row r="419" spans="1:1" x14ac:dyDescent="0.2">
      <c r="A419" s="34" t="s">
        <v>560</v>
      </c>
    </row>
    <row r="420" spans="1:1" x14ac:dyDescent="0.2">
      <c r="A420" s="34" t="s">
        <v>561</v>
      </c>
    </row>
    <row r="421" spans="1:1" x14ac:dyDescent="0.2">
      <c r="A421" s="34" t="s">
        <v>563</v>
      </c>
    </row>
    <row r="422" spans="1:1" x14ac:dyDescent="0.2">
      <c r="A422" s="34" t="s">
        <v>564</v>
      </c>
    </row>
    <row r="423" spans="1:1" x14ac:dyDescent="0.2">
      <c r="A423" s="34" t="s">
        <v>565</v>
      </c>
    </row>
    <row r="424" spans="1:1" x14ac:dyDescent="0.2">
      <c r="A424" s="34" t="s">
        <v>566</v>
      </c>
    </row>
    <row r="425" spans="1:1" x14ac:dyDescent="0.2">
      <c r="A425" s="34" t="s">
        <v>567</v>
      </c>
    </row>
    <row r="426" spans="1:1" x14ac:dyDescent="0.2">
      <c r="A426" s="34" t="s">
        <v>568</v>
      </c>
    </row>
    <row r="427" spans="1:1" x14ac:dyDescent="0.2">
      <c r="A427" s="34" t="s">
        <v>569</v>
      </c>
    </row>
    <row r="428" spans="1:1" x14ac:dyDescent="0.2">
      <c r="A428" s="34" t="s">
        <v>570</v>
      </c>
    </row>
    <row r="429" spans="1:1" x14ac:dyDescent="0.2">
      <c r="A429" s="34" t="s">
        <v>571</v>
      </c>
    </row>
    <row r="430" spans="1:1" x14ac:dyDescent="0.2">
      <c r="A430" s="34" t="s">
        <v>572</v>
      </c>
    </row>
    <row r="431" spans="1:1" x14ac:dyDescent="0.2">
      <c r="A431" s="34" t="s">
        <v>573</v>
      </c>
    </row>
    <row r="432" spans="1:1" x14ac:dyDescent="0.2">
      <c r="A432" s="34" t="s">
        <v>574</v>
      </c>
    </row>
    <row r="433" spans="1:1" x14ac:dyDescent="0.2">
      <c r="A433" s="34" t="s">
        <v>575</v>
      </c>
    </row>
    <row r="434" spans="1:1" x14ac:dyDescent="0.2">
      <c r="A434" s="34" t="s">
        <v>598</v>
      </c>
    </row>
    <row r="435" spans="1:1" x14ac:dyDescent="0.2">
      <c r="A435" s="34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projectdata-nyse PROJECT</vt:lpstr>
      <vt:lpstr>TASK 1</vt:lpstr>
      <vt:lpstr>TASK 2</vt:lpstr>
      <vt:lpstr>TASK 3</vt:lpstr>
      <vt:lpstr>Sheet2</vt:lpstr>
      <vt:lpstr>COGS</vt:lpstr>
      <vt:lpstr>oper</vt:lpstr>
      <vt:lpstr>operating_margin</vt:lpstr>
      <vt:lpstr>RD</vt:lpstr>
      <vt:lpstr>Rev</vt:lpstr>
      <vt:lpstr>SGA</vt:lpstr>
      <vt:lpstr>Sym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Rodriguez</dc:creator>
  <cp:lastModifiedBy>Cesar Rodriguez</cp:lastModifiedBy>
  <dcterms:created xsi:type="dcterms:W3CDTF">2025-07-18T01:54:43Z</dcterms:created>
  <dcterms:modified xsi:type="dcterms:W3CDTF">2025-08-19T22:38:31Z</dcterms:modified>
</cp:coreProperties>
</file>